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smae\OneDrive\Escritorio\Reporteador\Frontend\public\"/>
    </mc:Choice>
  </mc:AlternateContent>
  <xr:revisionPtr revIDLastSave="0" documentId="13_ncr:1_{E1A01AFA-B50F-4194-8BE2-DFEDD88E8BB5}" xr6:coauthVersionLast="47" xr6:coauthVersionMax="47" xr10:uidLastSave="{00000000-0000-0000-0000-000000000000}"/>
  <bookViews>
    <workbookView xWindow="28680" yWindow="-120" windowWidth="29040" windowHeight="15720" xr2:uid="{11315CA4-D2DE-451E-A7A8-FF9D3E544B73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6" i="1" l="1"/>
  <c r="D45" i="1"/>
  <c r="D44" i="1"/>
  <c r="D43" i="1"/>
  <c r="D42" i="1"/>
  <c r="M37" i="1"/>
  <c r="J37" i="1"/>
  <c r="I37" i="1"/>
  <c r="H37" i="1"/>
  <c r="G37" i="1"/>
  <c r="F37" i="1"/>
  <c r="E37" i="1"/>
  <c r="D37" i="1"/>
  <c r="C37" i="1"/>
  <c r="B37" i="1"/>
  <c r="M36" i="1"/>
  <c r="J36" i="1"/>
  <c r="I36" i="1"/>
  <c r="H36" i="1"/>
  <c r="G36" i="1"/>
  <c r="F36" i="1"/>
  <c r="E36" i="1"/>
  <c r="D36" i="1"/>
  <c r="C36" i="1"/>
  <c r="B36" i="1"/>
  <c r="M35" i="1"/>
  <c r="J35" i="1"/>
  <c r="I35" i="1"/>
  <c r="H35" i="1"/>
  <c r="G35" i="1"/>
  <c r="F35" i="1"/>
  <c r="E35" i="1"/>
  <c r="D35" i="1"/>
  <c r="C35" i="1"/>
  <c r="B35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<sst xmlns="http://schemas.openxmlformats.org/spreadsheetml/2006/main" count="64" uniqueCount="33">
  <si>
    <t>Subdireccion De Extraccion Region Terrestre Sur</t>
  </si>
  <si>
    <t xml:space="preserve">Coordinación de Operación De Explotación </t>
  </si>
  <si>
    <t>Contrato 425014809</t>
  </si>
  <si>
    <t>Pozo IRIDE 5108</t>
  </si>
  <si>
    <t>Supervisor Ing. Angel Adrian Castro Acosta.</t>
  </si>
  <si>
    <t>Activo De Extraccion Samaria Luna</t>
  </si>
  <si>
    <t>POZO</t>
  </si>
  <si>
    <t>EQUIPO MTC</t>
  </si>
  <si>
    <t>T. Oper</t>
  </si>
  <si>
    <t>Q iny</t>
  </si>
  <si>
    <t>FECHA</t>
  </si>
  <si>
    <t>TP</t>
  </si>
  <si>
    <t>TR</t>
  </si>
  <si>
    <t>LDD</t>
  </si>
  <si>
    <t>T. Pozo</t>
  </si>
  <si>
    <t>P Succ</t>
  </si>
  <si>
    <t>P desc</t>
  </si>
  <si>
    <t>R.P.M.</t>
  </si>
  <si>
    <t>T desc</t>
  </si>
  <si>
    <t>T succ</t>
  </si>
  <si>
    <t>kg/cm2</t>
  </si>
  <si>
    <t>°C</t>
  </si>
  <si>
    <t>Vel.</t>
  </si>
  <si>
    <t>MTC.</t>
  </si>
  <si>
    <t>MMPCD</t>
  </si>
  <si>
    <t>V. MAX</t>
  </si>
  <si>
    <t>MAX.</t>
  </si>
  <si>
    <t>V. PROM.</t>
  </si>
  <si>
    <t>PROM.</t>
  </si>
  <si>
    <t>V. MIN</t>
  </si>
  <si>
    <t>MIN.</t>
  </si>
  <si>
    <t>OBSERVACIONES</t>
  </si>
  <si>
    <t>EQUIPO OPERANDO NORMAL LAS 24:00 HRS.     
ACCESO CERRADO POR LAS NOCHES.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</si>
</sst>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dd\-mmm\-yy\ hh:mm"/>
    <numFmt numFmtId="166" formatCode="0.0"/>
  </numFmts>
  <fonts count="13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name val="Arial"/>
      <family val="2"/>
    </font>
    <font>
      <b/>
      <sz val="8"/>
      <color rgb="FFFF0000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sz val="12"/>
      <color rgb="FFFFFFFF"/>
      <name val="Aptos Narrow"/>
      <family val="2"/>
      <scheme val="minor"/>
    </font>
    <font>
      <sz val="12"/>
      <color rgb="FFF8F8F8"/>
      <name val="Aptos Narrow"/>
      <family val="2"/>
      <scheme val="minor"/>
    </font>
    <font>
      <b/>
      <sz val="8"/>
      <color indexed="10"/>
      <name val="Arial"/>
      <family val="2"/>
    </font>
    <font>
      <b/>
      <sz val="9"/>
      <color indexed="10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8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slantDashDot">
        <color rgb="FF000090"/>
      </bottom>
      <diagonal/>
    </border>
    <border>
      <left/>
      <right/>
      <top style="slantDashDot">
        <color rgb="FF00009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auto="1"/>
      </bottom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55">
    <xf numFmtId="0" fontId="0" fillId="0" borderId="0" xfId="0"/>
    <xf numFmtId="1" fontId="3" fillId="0" borderId="0" xfId="1" applyNumberFormat="1" applyFont="1" applyAlignment="1">
      <alignment vertical="center" wrapText="1"/>
    </xf>
    <xf numFmtId="1" fontId="0" fillId="0" borderId="0" xfId="0" applyNumberFormat="1"/>
    <xf numFmtId="0" fontId="2" fillId="0" borderId="0" xfId="1"/>
    <xf numFmtId="0" fontId="5" fillId="2" borderId="3" xfId="2" applyFont="1" applyFill="1" applyBorder="1" applyAlignment="1">
      <alignment horizontal="center"/>
    </xf>
    <xf numFmtId="1" fontId="5" fillId="2" borderId="3" xfId="2" applyNumberFormat="1" applyFont="1" applyFill="1" applyBorder="1" applyAlignment="1">
      <alignment horizontal="center"/>
    </xf>
    <xf numFmtId="164" fontId="5" fillId="2" borderId="3" xfId="2" applyNumberFormat="1" applyFont="1" applyFill="1" applyBorder="1" applyAlignment="1">
      <alignment horizontal="center"/>
    </xf>
    <xf numFmtId="165" fontId="2" fillId="0" borderId="3" xfId="2" applyNumberFormat="1" applyBorder="1" applyAlignment="1">
      <alignment horizontal="center" vertical="center"/>
    </xf>
    <xf numFmtId="166" fontId="6" fillId="0" borderId="3" xfId="2" applyNumberFormat="1" applyFont="1" applyBorder="1" applyAlignment="1">
      <alignment horizontal="center" vertical="center"/>
    </xf>
    <xf numFmtId="164" fontId="6" fillId="0" borderId="3" xfId="2" applyNumberFormat="1" applyFont="1" applyBorder="1" applyAlignment="1">
      <alignment horizontal="center" vertical="center"/>
    </xf>
    <xf numFmtId="0" fontId="7" fillId="0" borderId="0" xfId="0" applyFont="1"/>
    <xf numFmtId="14" fontId="5" fillId="3" borderId="0" xfId="1" applyNumberFormat="1" applyFont="1" applyFill="1"/>
    <xf numFmtId="166" fontId="5" fillId="3" borderId="0" xfId="1" applyNumberFormat="1" applyFont="1" applyFill="1" applyAlignment="1">
      <alignment horizontal="center"/>
    </xf>
    <xf numFmtId="1" fontId="5" fillId="3" borderId="0" xfId="1" applyNumberFormat="1" applyFont="1" applyFill="1" applyAlignment="1">
      <alignment horizontal="center"/>
    </xf>
    <xf numFmtId="0" fontId="5" fillId="3" borderId="0" xfId="1" applyFont="1" applyFill="1" applyAlignment="1">
      <alignment horizontal="center"/>
    </xf>
    <xf numFmtId="164" fontId="5" fillId="3" borderId="0" xfId="1" applyNumberFormat="1" applyFont="1" applyFill="1" applyAlignment="1">
      <alignment horizontal="center"/>
    </xf>
    <xf numFmtId="0" fontId="8" fillId="0" borderId="0" xfId="0" applyFont="1"/>
    <xf numFmtId="15" fontId="9" fillId="0" borderId="0" xfId="1" applyNumberFormat="1" applyFont="1" applyAlignment="1">
      <alignment horizontal="right"/>
    </xf>
    <xf numFmtId="15" fontId="9" fillId="0" borderId="0" xfId="1" applyNumberFormat="1" applyFont="1" applyAlignment="1">
      <alignment horizontal="left"/>
    </xf>
    <xf numFmtId="0" fontId="2" fillId="0" borderId="0" xfId="1" applyAlignment="1">
      <alignment horizontal="center"/>
    </xf>
    <xf numFmtId="1" fontId="2" fillId="0" borderId="0" xfId="1" applyNumberFormat="1" applyAlignment="1">
      <alignment horizontal="center"/>
    </xf>
    <xf numFmtId="1" fontId="9" fillId="0" borderId="0" xfId="1" applyNumberFormat="1" applyFont="1" applyAlignment="1">
      <alignment wrapText="1"/>
    </xf>
    <xf numFmtId="1" fontId="2" fillId="0" borderId="0" xfId="1" applyNumberFormat="1"/>
    <xf numFmtId="14" fontId="10" fillId="0" borderId="0" xfId="1" applyNumberFormat="1" applyFont="1"/>
    <xf numFmtId="0" fontId="6" fillId="0" borderId="0" xfId="1" applyFont="1"/>
    <xf numFmtId="0" fontId="3" fillId="0" borderId="0" xfId="1" applyFont="1" applyAlignment="1">
      <alignment horizontal="left"/>
    </xf>
    <xf numFmtId="20" fontId="10" fillId="0" borderId="0" xfId="1" applyNumberFormat="1" applyFont="1"/>
    <xf numFmtId="20" fontId="6" fillId="0" borderId="0" xfId="1" applyNumberFormat="1" applyFont="1"/>
    <xf numFmtId="46" fontId="0" fillId="0" borderId="0" xfId="0" applyNumberFormat="1"/>
    <xf numFmtId="20" fontId="0" fillId="0" borderId="0" xfId="0" applyNumberFormat="1"/>
    <xf numFmtId="0" fontId="12" fillId="0" borderId="0" xfId="0" applyFont="1" applyAlignment="1">
      <alignment horizontal="center" vertical="center" wrapText="1"/>
    </xf>
    <xf numFmtId="1" fontId="12" fillId="0" borderId="0" xfId="0" applyNumberFormat="1" applyFont="1" applyAlignment="1">
      <alignment horizontal="center" vertical="center" wrapText="1"/>
    </xf>
    <xf numFmtId="1" fontId="12" fillId="0" borderId="0" xfId="0" applyNumberFormat="1" applyFont="1" applyAlignment="1">
      <alignment wrapText="1"/>
    </xf>
    <xf numFmtId="1" fontId="6" fillId="0" borderId="11" xfId="2" applyNumberFormat="1" applyFont="1" applyBorder="1" applyAlignment="1">
      <alignment horizontal="center" vertical="center"/>
    </xf>
    <xf numFmtId="1" fontId="6" fillId="0" borderId="3" xfId="2" applyNumberFormat="1" applyFont="1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/>
    </xf>
    <xf numFmtId="0" fontId="12" fillId="4" borderId="11" xfId="0" applyFont="1" applyFill="1" applyBorder="1" applyAlignment="1">
      <alignment horizontal="center" vertical="center" wrapText="1"/>
    </xf>
    <xf numFmtId="0" fontId="12" fillId="4" borderId="0" xfId="0" applyFont="1" applyFill="1" applyAlignment="1">
      <alignment horizontal="center" vertical="center" wrapText="1"/>
    </xf>
    <xf numFmtId="0" fontId="12" fillId="4" borderId="5" xfId="0" applyFont="1" applyFill="1" applyBorder="1" applyAlignment="1">
      <alignment horizontal="center" vertical="center" wrapText="1"/>
    </xf>
    <xf numFmtId="0" fontId="12" fillId="4" borderId="12" xfId="0" applyFont="1" applyFill="1" applyBorder="1" applyAlignment="1">
      <alignment horizontal="center" vertical="center" wrapText="1"/>
    </xf>
    <xf numFmtId="0" fontId="12" fillId="4" borderId="13" xfId="0" applyFont="1" applyFill="1" applyBorder="1" applyAlignment="1">
      <alignment horizontal="center" vertical="center" wrapText="1"/>
    </xf>
    <xf numFmtId="0" fontId="12" fillId="4" borderId="7" xfId="0" applyFont="1" applyFill="1" applyBorder="1" applyAlignment="1">
      <alignment horizontal="center" vertical="center" wrapText="1"/>
    </xf>
    <xf numFmtId="0" fontId="4" fillId="0" borderId="3" xfId="2" applyFont="1" applyBorder="1" applyAlignment="1">
      <alignment horizontal="center"/>
    </xf>
    <xf numFmtId="0" fontId="5" fillId="0" borderId="4" xfId="2" applyFont="1" applyBorder="1" applyAlignment="1">
      <alignment horizontal="center" vertical="center"/>
    </xf>
    <xf numFmtId="0" fontId="5" fillId="0" borderId="6" xfId="2" applyFont="1" applyBorder="1" applyAlignment="1">
      <alignment horizontal="center" vertical="center"/>
    </xf>
    <xf numFmtId="0" fontId="5" fillId="2" borderId="5" xfId="2" applyFont="1" applyFill="1" applyBorder="1" applyAlignment="1">
      <alignment horizontal="center"/>
    </xf>
    <xf numFmtId="0" fontId="5" fillId="2" borderId="7" xfId="2" applyFont="1" applyFill="1" applyBorder="1" applyAlignment="1">
      <alignment horizontal="center"/>
    </xf>
    <xf numFmtId="14" fontId="11" fillId="4" borderId="8" xfId="0" applyNumberFormat="1" applyFont="1" applyFill="1" applyBorder="1" applyAlignment="1">
      <alignment horizontal="center" vertical="center"/>
    </xf>
    <xf numFmtId="14" fontId="11" fillId="4" borderId="9" xfId="0" applyNumberFormat="1" applyFont="1" applyFill="1" applyBorder="1" applyAlignment="1">
      <alignment horizontal="center" vertical="center"/>
    </xf>
    <xf numFmtId="14" fontId="11" fillId="4" borderId="10" xfId="0" applyNumberFormat="1" applyFont="1" applyFill="1" applyBorder="1" applyAlignment="1">
      <alignment horizontal="center" vertical="center"/>
    </xf>
  </cellXfs>
  <cellStyles count="3">
    <cellStyle name="Normal" xfId="0" builtinId="0"/>
    <cellStyle name="Normal 2" xfId="2" xr:uid="{0E134AEF-D3E7-40F8-A52B-937090A08F9B}"/>
    <cellStyle name="Normal 3" xfId="1" xr:uid="{CA841F5F-BA47-4392-826E-91AEFCBEA0F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Ismae\Downloads\30%20SEPTIEMBRE%20DE%202025%20(SAM).xlsx" TargetMode="External"/><Relationship Id="rId1" Type="http://schemas.openxmlformats.org/officeDocument/2006/relationships/externalLinkPath" Target="/Users/Ismae/Downloads/30%20SEPTIEMBRE%20DE%202025%20(SAM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M 1199"/>
      <sheetName val="IRIDE 5108"/>
      <sheetName val="SAMARIA 91A"/>
      <sheetName val="SAMARIA 7122"/>
      <sheetName val="SAMARIA 76(B)"/>
      <sheetName val="SAMARIA 7107"/>
      <sheetName val="SAMARIA 6093"/>
      <sheetName val="SAMARIA 6102"/>
      <sheetName val="SAMARIA 102-A"/>
      <sheetName val="SAMARIA 7192"/>
      <sheetName val="SAMARIA 6075"/>
      <sheetName val="SAMARIA 6092-H"/>
      <sheetName val="SAMARIA 5111"/>
      <sheetName val="SAMARIA 4112"/>
      <sheetName val="SAMARIA 1075"/>
      <sheetName val="CUNDUACAN 10"/>
      <sheetName val="SAMARIA 5104"/>
      <sheetName val="SAMARIA 1081"/>
      <sheetName val="SAMARIA 5084"/>
      <sheetName val="SAMARIA 71"/>
      <sheetName val="SAMARIA 7011"/>
      <sheetName val="SAMARIA 7114-H "/>
      <sheetName val="SAMARIA 7076"/>
      <sheetName val="SAMARIA 73-A"/>
      <sheetName val="SAMARIA 5199"/>
      <sheetName val="SAMARIA 6084"/>
      <sheetName val="M. CUNDUACAN 21"/>
      <sheetName val="M. SAMARIA 5081"/>
      <sheetName val="M. IRIDE 1126"/>
      <sheetName val="M. OXIACAQUE 13"/>
      <sheetName val="M. OXIACAQUE 26"/>
      <sheetName val="M. CUNDUACAN 25"/>
      <sheetName val="M. CUNDUACAN 1"/>
      <sheetName val="M. SAMARIA 1187"/>
      <sheetName val="M.CUNDUACAN 10"/>
      <sheetName val="M. SAMARIA 82"/>
    </sheetNames>
    <sheetDataSet>
      <sheetData sheetId="0">
        <row r="8">
          <cell r="M8" t="str">
            <v>Q iny</v>
          </cell>
        </row>
        <row r="9">
          <cell r="B9" t="str">
            <v>TP</v>
          </cell>
          <cell r="C9" t="str">
            <v>TR</v>
          </cell>
          <cell r="D9" t="str">
            <v>LDD</v>
          </cell>
          <cell r="M9"/>
        </row>
        <row r="10">
          <cell r="B10" t="str">
            <v>kg/cm2</v>
          </cell>
          <cell r="C10" t="str">
            <v>kg/cm2</v>
          </cell>
          <cell r="D10" t="str">
            <v>kg/cm2</v>
          </cell>
          <cell r="M10" t="str">
            <v>MMPCD</v>
          </cell>
        </row>
        <row r="11">
          <cell r="B11">
            <v>12.98</v>
          </cell>
          <cell r="C11">
            <v>0</v>
          </cell>
          <cell r="D11">
            <v>10.92</v>
          </cell>
          <cell r="L11">
            <v>6</v>
          </cell>
          <cell r="M11">
            <v>2.5099999999999998</v>
          </cell>
        </row>
        <row r="12">
          <cell r="B12">
            <v>27.25</v>
          </cell>
          <cell r="C12">
            <v>0</v>
          </cell>
          <cell r="D12">
            <v>26.42</v>
          </cell>
          <cell r="L12">
            <v>7</v>
          </cell>
          <cell r="M12">
            <v>2.5</v>
          </cell>
        </row>
        <row r="13">
          <cell r="B13">
            <v>11.86</v>
          </cell>
          <cell r="C13">
            <v>0</v>
          </cell>
          <cell r="D13">
            <v>11.54</v>
          </cell>
          <cell r="L13">
            <v>8</v>
          </cell>
          <cell r="M13">
            <v>2.5099999999999998</v>
          </cell>
        </row>
        <row r="14">
          <cell r="B14">
            <v>9.6999999999999993</v>
          </cell>
          <cell r="C14">
            <v>0</v>
          </cell>
          <cell r="D14">
            <v>8.86</v>
          </cell>
          <cell r="L14">
            <v>9</v>
          </cell>
          <cell r="M14">
            <v>2.48</v>
          </cell>
        </row>
        <row r="15">
          <cell r="B15">
            <v>11.39</v>
          </cell>
          <cell r="C15">
            <v>0</v>
          </cell>
          <cell r="D15">
            <v>10.08</v>
          </cell>
          <cell r="L15">
            <v>10</v>
          </cell>
          <cell r="M15">
            <v>2.5099999999999998</v>
          </cell>
        </row>
        <row r="16">
          <cell r="B16">
            <v>21.07</v>
          </cell>
          <cell r="C16">
            <v>0</v>
          </cell>
          <cell r="D16">
            <v>17.64</v>
          </cell>
          <cell r="L16">
            <v>11</v>
          </cell>
          <cell r="M16">
            <v>2.52</v>
          </cell>
        </row>
        <row r="17">
          <cell r="B17">
            <v>20.239999999999998</v>
          </cell>
          <cell r="C17">
            <v>0</v>
          </cell>
          <cell r="D17">
            <v>19.5</v>
          </cell>
          <cell r="L17">
            <v>12</v>
          </cell>
          <cell r="M17">
            <v>2.5099999999999998</v>
          </cell>
        </row>
        <row r="18">
          <cell r="B18">
            <v>10.16</v>
          </cell>
          <cell r="C18">
            <v>0</v>
          </cell>
          <cell r="D18">
            <v>9.07</v>
          </cell>
          <cell r="L18">
            <v>13</v>
          </cell>
          <cell r="M18">
            <v>2.4500000000000002</v>
          </cell>
        </row>
        <row r="19">
          <cell r="B19">
            <v>9.31</v>
          </cell>
          <cell r="C19">
            <v>0</v>
          </cell>
          <cell r="D19">
            <v>8.6199999999999992</v>
          </cell>
          <cell r="L19">
            <v>14</v>
          </cell>
          <cell r="M19">
            <v>2.46</v>
          </cell>
        </row>
        <row r="20">
          <cell r="B20">
            <v>13.64</v>
          </cell>
          <cell r="C20">
            <v>0</v>
          </cell>
          <cell r="D20">
            <v>11.63</v>
          </cell>
          <cell r="L20">
            <v>15</v>
          </cell>
          <cell r="M20">
            <v>2.4700000000000002</v>
          </cell>
        </row>
        <row r="21">
          <cell r="B21">
            <v>26.07</v>
          </cell>
          <cell r="C21">
            <v>0</v>
          </cell>
          <cell r="D21">
            <v>23.83</v>
          </cell>
          <cell r="L21">
            <v>16</v>
          </cell>
          <cell r="M21">
            <v>2.4500000000000002</v>
          </cell>
        </row>
        <row r="22">
          <cell r="B22">
            <v>12.09</v>
          </cell>
          <cell r="C22">
            <v>0</v>
          </cell>
          <cell r="D22">
            <v>11.09</v>
          </cell>
          <cell r="L22">
            <v>17</v>
          </cell>
          <cell r="M22">
            <v>2.5499999999999998</v>
          </cell>
        </row>
        <row r="23">
          <cell r="B23">
            <v>10.56</v>
          </cell>
          <cell r="C23">
            <v>0</v>
          </cell>
          <cell r="D23">
            <v>9.31</v>
          </cell>
          <cell r="L23">
            <v>18</v>
          </cell>
          <cell r="M23">
            <v>2.62</v>
          </cell>
        </row>
        <row r="24">
          <cell r="B24">
            <v>12.33</v>
          </cell>
          <cell r="C24">
            <v>0</v>
          </cell>
          <cell r="D24">
            <v>10.43</v>
          </cell>
          <cell r="L24">
            <v>19</v>
          </cell>
          <cell r="M24">
            <v>2.6</v>
          </cell>
        </row>
        <row r="25">
          <cell r="B25">
            <v>25.29</v>
          </cell>
          <cell r="C25">
            <v>0</v>
          </cell>
          <cell r="D25">
            <v>23.56</v>
          </cell>
          <cell r="L25">
            <v>20</v>
          </cell>
          <cell r="M25">
            <v>2.62</v>
          </cell>
        </row>
        <row r="26">
          <cell r="B26">
            <v>14.51</v>
          </cell>
          <cell r="C26">
            <v>0</v>
          </cell>
          <cell r="D26">
            <v>14.23</v>
          </cell>
          <cell r="L26">
            <v>21</v>
          </cell>
          <cell r="M26">
            <v>2.62</v>
          </cell>
        </row>
        <row r="27">
          <cell r="B27">
            <v>10.44</v>
          </cell>
          <cell r="C27">
            <v>0</v>
          </cell>
          <cell r="D27">
            <v>9.2200000000000006</v>
          </cell>
          <cell r="L27">
            <v>22</v>
          </cell>
          <cell r="M27">
            <v>2.61</v>
          </cell>
        </row>
        <row r="28">
          <cell r="B28">
            <v>11.31</v>
          </cell>
          <cell r="C28">
            <v>0</v>
          </cell>
          <cell r="D28">
            <v>9.6</v>
          </cell>
          <cell r="L28">
            <v>23</v>
          </cell>
          <cell r="M28">
            <v>2.61</v>
          </cell>
        </row>
        <row r="29">
          <cell r="B29">
            <v>24.12</v>
          </cell>
          <cell r="C29">
            <v>0</v>
          </cell>
          <cell r="D29">
            <v>22.17</v>
          </cell>
          <cell r="L29">
            <v>0</v>
          </cell>
          <cell r="M29">
            <v>2.62</v>
          </cell>
        </row>
        <row r="30">
          <cell r="B30">
            <v>15.81</v>
          </cell>
          <cell r="C30">
            <v>0</v>
          </cell>
          <cell r="D30">
            <v>15.12</v>
          </cell>
          <cell r="L30">
            <v>1</v>
          </cell>
          <cell r="M30">
            <v>2.62</v>
          </cell>
        </row>
        <row r="31">
          <cell r="B31">
            <v>10.26</v>
          </cell>
          <cell r="C31">
            <v>0</v>
          </cell>
          <cell r="D31">
            <v>9.0399999999999991</v>
          </cell>
          <cell r="L31">
            <v>2</v>
          </cell>
          <cell r="M31">
            <v>2.61</v>
          </cell>
        </row>
        <row r="32">
          <cell r="B32">
            <v>10.09</v>
          </cell>
          <cell r="C32">
            <v>0</v>
          </cell>
          <cell r="D32">
            <v>8.8800000000000008</v>
          </cell>
          <cell r="L32">
            <v>3</v>
          </cell>
          <cell r="M32">
            <v>2.62</v>
          </cell>
        </row>
        <row r="33">
          <cell r="B33">
            <v>19.87</v>
          </cell>
          <cell r="C33">
            <v>0</v>
          </cell>
          <cell r="D33">
            <v>16.559999999999999</v>
          </cell>
          <cell r="L33">
            <v>4</v>
          </cell>
          <cell r="M33">
            <v>2.62</v>
          </cell>
        </row>
        <row r="34">
          <cell r="B34">
            <v>28.16</v>
          </cell>
          <cell r="C34">
            <v>0</v>
          </cell>
          <cell r="D34">
            <v>27.4</v>
          </cell>
          <cell r="L34">
            <v>5</v>
          </cell>
          <cell r="M34">
            <v>2.62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5</v>
  </rv>
  <rv s="1">
    <v>1</v>
    <v>5</v>
    <v>65adb373-c27c-46ae-a553-68d93f73d70f</v>
  </rv>
</rvData>
</file>

<file path=xl/richData/rdrichvaluestructure.xml><?xml version="1.0" encoding="utf-8"?>
<rvStructures xmlns="http://schemas.microsoft.com/office/spreadsheetml/2017/richdata" count="2">
  <s t="_localImage">
    <k n="_rvRel:LocalImageIdentifier" t="i"/>
    <k n="CalcOrigin" t="i"/>
  </s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FA0F4-6A84-44E9-BF44-DE33A70EE4B7}">
  <dimension ref="A1:S64"/>
  <sheetViews>
    <sheetView tabSelected="1" topLeftCell="A42" zoomScale="70" zoomScaleNormal="70" workbookViewId="0">
      <selection activeCell="J67" sqref="J67"/>
    </sheetView>
  </sheetViews>
  <sheetFormatPr defaultColWidth="12.21875" defaultRowHeight="14.4" x14ac:dyDescent="0.3"/>
  <cols>
    <col min="1" max="1" width="16.33203125" customWidth="1"/>
    <col min="2" max="7" width="10" customWidth="1"/>
    <col min="8" max="10" width="10" style="2" customWidth="1"/>
    <col min="11" max="11" width="10" customWidth="1"/>
    <col min="12" max="12" width="15.109375" customWidth="1"/>
    <col min="13" max="13" width="14.88671875" customWidth="1"/>
    <col min="14" max="14" width="2.33203125" hidden="1" customWidth="1"/>
    <col min="15" max="42" width="10" customWidth="1"/>
  </cols>
  <sheetData>
    <row r="1" spans="1:14" ht="18.600000000000001" thickBot="1" x14ac:dyDescent="0.4">
      <c r="D1" s="37" t="s">
        <v>0</v>
      </c>
      <c r="E1" s="37"/>
      <c r="F1" s="37"/>
      <c r="G1" s="37"/>
      <c r="H1" s="37"/>
      <c r="I1" s="37"/>
      <c r="J1" s="1"/>
    </row>
    <row r="2" spans="1:14" x14ac:dyDescent="0.3">
      <c r="D2" s="38" t="s">
        <v>1</v>
      </c>
      <c r="E2" s="38"/>
      <c r="F2" s="38"/>
      <c r="G2" s="38"/>
      <c r="H2" s="38"/>
      <c r="I2" s="38"/>
    </row>
    <row r="3" spans="1:14" x14ac:dyDescent="0.3">
      <c r="D3" s="36" t="s">
        <v>2</v>
      </c>
      <c r="E3" s="36"/>
      <c r="F3" s="36"/>
      <c r="G3" s="36"/>
      <c r="H3" s="36"/>
      <c r="I3" s="36"/>
      <c r="K3" s="2"/>
      <c r="L3" s="2"/>
    </row>
    <row r="4" spans="1:14" x14ac:dyDescent="0.3">
      <c r="A4" s="36" t="e" vm="1">
        <v>#VALUE!</v>
      </c>
      <c r="B4" s="36"/>
      <c r="C4" s="36"/>
      <c r="D4" s="36" t="s">
        <v>3</v>
      </c>
      <c r="E4" s="36"/>
      <c r="F4" s="36"/>
      <c r="G4" s="36"/>
      <c r="H4" s="36"/>
      <c r="I4" s="36"/>
      <c r="K4" s="40" t="e" vm="2">
        <v>#VALUE!</v>
      </c>
      <c r="L4" s="40"/>
      <c r="M4" s="40"/>
    </row>
    <row r="5" spans="1:14" ht="22.8" customHeight="1" x14ac:dyDescent="0.3">
      <c r="A5" s="36"/>
      <c r="B5" s="36"/>
      <c r="C5" s="36"/>
      <c r="D5" s="39" t="s">
        <v>4</v>
      </c>
      <c r="E5" s="39"/>
      <c r="F5" s="39"/>
      <c r="G5" s="39"/>
      <c r="H5" s="39"/>
      <c r="I5" s="39"/>
      <c r="K5" s="40"/>
      <c r="L5" s="40"/>
      <c r="M5" s="40"/>
    </row>
    <row r="6" spans="1:14" x14ac:dyDescent="0.3">
      <c r="A6" s="36"/>
      <c r="B6" s="36"/>
      <c r="C6" s="36"/>
      <c r="D6" s="36" t="s">
        <v>5</v>
      </c>
      <c r="E6" s="36"/>
      <c r="F6" s="36"/>
      <c r="G6" s="36"/>
      <c r="H6" s="36"/>
      <c r="I6" s="36"/>
      <c r="K6" s="40"/>
      <c r="L6" s="40"/>
      <c r="M6" s="40"/>
    </row>
    <row r="7" spans="1:14" ht="15" customHeight="1" x14ac:dyDescent="0.3"/>
    <row r="8" spans="1:14" ht="15.6" x14ac:dyDescent="0.3">
      <c r="A8" s="3"/>
      <c r="B8" s="47" t="s">
        <v>6</v>
      </c>
      <c r="C8" s="47"/>
      <c r="D8" s="47"/>
      <c r="E8" s="47"/>
      <c r="F8" s="47" t="s">
        <v>7</v>
      </c>
      <c r="G8" s="47"/>
      <c r="H8" s="47"/>
      <c r="I8" s="47"/>
      <c r="J8" s="47"/>
      <c r="L8" s="48" t="s">
        <v>8</v>
      </c>
      <c r="M8" s="48" t="s">
        <v>9</v>
      </c>
    </row>
    <row r="9" spans="1:14" ht="15" customHeight="1" x14ac:dyDescent="0.3">
      <c r="A9" s="50" t="s">
        <v>10</v>
      </c>
      <c r="B9" s="4" t="s">
        <v>11</v>
      </c>
      <c r="C9" s="4" t="s">
        <v>12</v>
      </c>
      <c r="D9" s="4" t="s">
        <v>13</v>
      </c>
      <c r="E9" s="4" t="s">
        <v>14</v>
      </c>
      <c r="F9" s="4" t="s">
        <v>15</v>
      </c>
      <c r="G9" s="4" t="s">
        <v>16</v>
      </c>
      <c r="H9" s="5" t="s">
        <v>17</v>
      </c>
      <c r="I9" s="5" t="s">
        <v>18</v>
      </c>
      <c r="J9" s="5" t="s">
        <v>19</v>
      </c>
      <c r="L9" s="49"/>
      <c r="M9" s="49"/>
    </row>
    <row r="10" spans="1:14" x14ac:dyDescent="0.3">
      <c r="A10" s="51"/>
      <c r="B10" s="4" t="s">
        <v>20</v>
      </c>
      <c r="C10" s="4" t="s">
        <v>20</v>
      </c>
      <c r="D10" s="4" t="s">
        <v>20</v>
      </c>
      <c r="E10" s="6" t="s">
        <v>21</v>
      </c>
      <c r="F10" s="4" t="s">
        <v>20</v>
      </c>
      <c r="G10" s="4" t="s">
        <v>20</v>
      </c>
      <c r="H10" s="5" t="s">
        <v>22</v>
      </c>
      <c r="I10" s="5" t="s">
        <v>21</v>
      </c>
      <c r="J10" s="5" t="s">
        <v>21</v>
      </c>
      <c r="L10" s="4" t="s">
        <v>23</v>
      </c>
      <c r="M10" s="4" t="s">
        <v>24</v>
      </c>
    </row>
    <row r="11" spans="1:14" ht="15.75" customHeight="1" x14ac:dyDescent="0.3">
      <c r="A11" s="7" t="s">
        <v>10</v>
      </c>
      <c r="B11" s="8">
        <v>2</v>
      </c>
      <c r="C11" s="8">
        <v>2</v>
      </c>
      <c r="D11" s="8">
        <v>2</v>
      </c>
      <c r="E11" s="8">
        <v>2</v>
      </c>
      <c r="F11" s="8">
        <v>2</v>
      </c>
      <c r="G11" s="8">
        <v>10</v>
      </c>
      <c r="H11" s="8">
        <v>2</v>
      </c>
      <c r="I11" s="8">
        <v>2</v>
      </c>
      <c r="J11" s="8">
        <v>2</v>
      </c>
      <c r="L11" s="33">
        <v>0</v>
      </c>
      <c r="M11" s="9"/>
      <c r="N11" s="10"/>
    </row>
    <row r="12" spans="1:14" ht="15.75" customHeight="1" x14ac:dyDescent="0.3">
      <c r="A12" s="7" t="s">
        <v>10</v>
      </c>
      <c r="B12" s="8">
        <v>3</v>
      </c>
      <c r="C12" s="8">
        <v>3</v>
      </c>
      <c r="D12" s="8">
        <v>3</v>
      </c>
      <c r="E12" s="8">
        <v>3</v>
      </c>
      <c r="F12" s="8">
        <v>3</v>
      </c>
      <c r="G12" s="8">
        <v>11</v>
      </c>
      <c r="H12" s="8">
        <v>3</v>
      </c>
      <c r="I12" s="8">
        <v>3</v>
      </c>
      <c r="J12" s="8">
        <v>3</v>
      </c>
      <c r="L12" s="34">
        <v>1</v>
      </c>
      <c r="M12" s="9"/>
      <c r="N12" s="10"/>
    </row>
    <row r="13" spans="1:14" ht="15.75" customHeight="1" x14ac:dyDescent="0.3">
      <c r="A13" s="7" t="s">
        <v>10</v>
      </c>
      <c r="B13" s="8">
        <v>4</v>
      </c>
      <c r="C13" s="8">
        <v>4</v>
      </c>
      <c r="D13" s="8">
        <v>4</v>
      </c>
      <c r="E13" s="8">
        <v>4</v>
      </c>
      <c r="F13" s="8">
        <v>4</v>
      </c>
      <c r="G13" s="8">
        <v>12</v>
      </c>
      <c r="H13" s="8">
        <v>4</v>
      </c>
      <c r="I13" s="8">
        <v>4</v>
      </c>
      <c r="J13" s="8">
        <v>4</v>
      </c>
      <c r="L13" s="33">
        <v>2</v>
      </c>
      <c r="M13" s="9"/>
      <c r="N13" s="10"/>
    </row>
    <row r="14" spans="1:14" ht="15.75" customHeight="1" x14ac:dyDescent="0.3">
      <c r="A14" s="7" t="s">
        <v>10</v>
      </c>
      <c r="B14" s="8">
        <v>5</v>
      </c>
      <c r="C14" s="8">
        <v>5</v>
      </c>
      <c r="D14" s="8">
        <v>5</v>
      </c>
      <c r="E14" s="8">
        <v>5</v>
      </c>
      <c r="F14" s="8">
        <v>5</v>
      </c>
      <c r="G14" s="8">
        <v>13</v>
      </c>
      <c r="H14" s="8">
        <v>5</v>
      </c>
      <c r="I14" s="8">
        <v>5</v>
      </c>
      <c r="J14" s="8">
        <v>5</v>
      </c>
      <c r="L14" s="34">
        <v>3</v>
      </c>
      <c r="M14" s="9"/>
      <c r="N14" s="10"/>
    </row>
    <row r="15" spans="1:14" ht="15.75" customHeight="1" x14ac:dyDescent="0.3">
      <c r="A15" s="7" t="s">
        <v>10</v>
      </c>
      <c r="B15" s="8">
        <v>6</v>
      </c>
      <c r="C15" s="8">
        <v>6</v>
      </c>
      <c r="D15" s="8">
        <v>6</v>
      </c>
      <c r="E15" s="8">
        <v>6</v>
      </c>
      <c r="F15" s="8">
        <v>6</v>
      </c>
      <c r="G15" s="8">
        <v>14</v>
      </c>
      <c r="H15" s="8">
        <v>6</v>
      </c>
      <c r="I15" s="8">
        <v>6</v>
      </c>
      <c r="J15" s="8">
        <v>6</v>
      </c>
      <c r="L15" s="33">
        <v>4</v>
      </c>
      <c r="M15" s="9"/>
      <c r="N15" s="10"/>
    </row>
    <row r="16" spans="1:14" ht="15.75" customHeight="1" x14ac:dyDescent="0.3">
      <c r="A16" s="7" t="s">
        <v>10</v>
      </c>
      <c r="B16" s="8">
        <v>7</v>
      </c>
      <c r="C16" s="8">
        <v>7</v>
      </c>
      <c r="D16" s="8">
        <v>7</v>
      </c>
      <c r="E16" s="8">
        <v>7</v>
      </c>
      <c r="F16" s="8">
        <v>7</v>
      </c>
      <c r="G16" s="8">
        <v>15</v>
      </c>
      <c r="H16" s="8">
        <v>7</v>
      </c>
      <c r="I16" s="8">
        <v>7</v>
      </c>
      <c r="J16" s="8">
        <v>7</v>
      </c>
      <c r="L16" s="34">
        <v>5</v>
      </c>
      <c r="M16" s="9"/>
      <c r="N16" s="10"/>
    </row>
    <row r="17" spans="1:14" ht="15.75" customHeight="1" x14ac:dyDescent="0.3">
      <c r="A17" s="7" t="s">
        <v>10</v>
      </c>
      <c r="B17" s="8">
        <v>8</v>
      </c>
      <c r="C17" s="8">
        <v>8</v>
      </c>
      <c r="D17" s="8">
        <v>8</v>
      </c>
      <c r="E17" s="8">
        <v>8</v>
      </c>
      <c r="F17" s="8">
        <v>8</v>
      </c>
      <c r="G17" s="8">
        <v>16</v>
      </c>
      <c r="H17" s="8">
        <v>8</v>
      </c>
      <c r="I17" s="8">
        <v>8</v>
      </c>
      <c r="J17" s="8">
        <v>8</v>
      </c>
      <c r="L17" s="33">
        <v>6</v>
      </c>
      <c r="M17" s="9"/>
      <c r="N17" s="10"/>
    </row>
    <row r="18" spans="1:14" ht="15.75" customHeight="1" x14ac:dyDescent="0.3">
      <c r="A18" s="7" t="s">
        <v>10</v>
      </c>
      <c r="B18" s="8">
        <v>9</v>
      </c>
      <c r="C18" s="8">
        <v>9</v>
      </c>
      <c r="D18" s="8">
        <v>9</v>
      </c>
      <c r="E18" s="8">
        <v>9</v>
      </c>
      <c r="F18" s="8">
        <v>9</v>
      </c>
      <c r="G18" s="8">
        <v>17</v>
      </c>
      <c r="H18" s="8">
        <v>9</v>
      </c>
      <c r="I18" s="8">
        <v>9</v>
      </c>
      <c r="J18" s="8">
        <v>9</v>
      </c>
      <c r="L18" s="34">
        <v>7</v>
      </c>
      <c r="M18" s="9"/>
      <c r="N18" s="10"/>
    </row>
    <row r="19" spans="1:14" ht="15.75" customHeight="1" x14ac:dyDescent="0.3">
      <c r="A19" s="7" t="s">
        <v>10</v>
      </c>
      <c r="B19" s="8">
        <v>10</v>
      </c>
      <c r="C19" s="8">
        <v>10</v>
      </c>
      <c r="D19" s="8">
        <v>10</v>
      </c>
      <c r="E19" s="8">
        <v>10</v>
      </c>
      <c r="F19" s="8">
        <v>10</v>
      </c>
      <c r="G19" s="8">
        <v>18</v>
      </c>
      <c r="H19" s="8">
        <v>10</v>
      </c>
      <c r="I19" s="8">
        <v>10</v>
      </c>
      <c r="J19" s="8">
        <v>10</v>
      </c>
      <c r="L19" s="33">
        <v>8</v>
      </c>
      <c r="M19" s="9"/>
      <c r="N19" s="10"/>
    </row>
    <row r="20" spans="1:14" ht="15.75" customHeight="1" x14ac:dyDescent="0.3">
      <c r="A20" s="7" t="s">
        <v>10</v>
      </c>
      <c r="B20" s="8">
        <v>11</v>
      </c>
      <c r="C20" s="8">
        <v>11</v>
      </c>
      <c r="D20" s="8">
        <v>11</v>
      </c>
      <c r="E20" s="8">
        <v>11</v>
      </c>
      <c r="F20" s="8">
        <v>11</v>
      </c>
      <c r="G20" s="8">
        <v>19</v>
      </c>
      <c r="H20" s="8">
        <v>11</v>
      </c>
      <c r="I20" s="8">
        <v>11</v>
      </c>
      <c r="J20" s="8">
        <v>11</v>
      </c>
      <c r="L20" s="34">
        <v>9</v>
      </c>
      <c r="M20" s="9"/>
      <c r="N20" s="10"/>
    </row>
    <row r="21" spans="1:14" ht="15.75" customHeight="1" x14ac:dyDescent="0.3">
      <c r="A21" s="7" t="s">
        <v>10</v>
      </c>
      <c r="B21" s="8">
        <v>12</v>
      </c>
      <c r="C21" s="8">
        <v>12</v>
      </c>
      <c r="D21" s="8">
        <v>12</v>
      </c>
      <c r="E21" s="8">
        <v>12</v>
      </c>
      <c r="F21" s="8">
        <v>12</v>
      </c>
      <c r="G21" s="8">
        <v>20</v>
      </c>
      <c r="H21" s="8">
        <v>12</v>
      </c>
      <c r="I21" s="8">
        <v>12</v>
      </c>
      <c r="J21" s="8">
        <v>12</v>
      </c>
      <c r="L21" s="33">
        <v>10</v>
      </c>
      <c r="M21" s="9"/>
      <c r="N21" s="10"/>
    </row>
    <row r="22" spans="1:14" ht="15.75" customHeight="1" x14ac:dyDescent="0.3">
      <c r="A22" s="7" t="s">
        <v>10</v>
      </c>
      <c r="B22" s="8">
        <v>13</v>
      </c>
      <c r="C22" s="8">
        <v>13</v>
      </c>
      <c r="D22" s="8">
        <v>13</v>
      </c>
      <c r="E22" s="8">
        <v>13</v>
      </c>
      <c r="F22" s="8">
        <v>13</v>
      </c>
      <c r="G22" s="8">
        <v>21</v>
      </c>
      <c r="H22" s="8">
        <v>13</v>
      </c>
      <c r="I22" s="8">
        <v>13</v>
      </c>
      <c r="J22" s="8">
        <v>13</v>
      </c>
      <c r="L22" s="34">
        <v>11</v>
      </c>
      <c r="M22" s="9"/>
      <c r="N22" s="10"/>
    </row>
    <row r="23" spans="1:14" ht="15.75" customHeight="1" x14ac:dyDescent="0.3">
      <c r="A23" s="7" t="s">
        <v>10</v>
      </c>
      <c r="B23" s="8">
        <v>14</v>
      </c>
      <c r="C23" s="8">
        <v>14</v>
      </c>
      <c r="D23" s="8">
        <v>14</v>
      </c>
      <c r="E23" s="8">
        <v>14</v>
      </c>
      <c r="F23" s="8">
        <v>14</v>
      </c>
      <c r="G23" s="8">
        <v>22</v>
      </c>
      <c r="H23" s="8">
        <v>14</v>
      </c>
      <c r="I23" s="8">
        <v>14</v>
      </c>
      <c r="J23" s="8">
        <v>14</v>
      </c>
      <c r="L23" s="33">
        <v>12</v>
      </c>
      <c r="M23" s="9"/>
      <c r="N23" s="10"/>
    </row>
    <row r="24" spans="1:14" ht="15.75" customHeight="1" x14ac:dyDescent="0.3">
      <c r="A24" s="7" t="s">
        <v>10</v>
      </c>
      <c r="B24" s="8">
        <v>15</v>
      </c>
      <c r="C24" s="8">
        <v>15</v>
      </c>
      <c r="D24" s="8">
        <v>15</v>
      </c>
      <c r="E24" s="8">
        <v>15</v>
      </c>
      <c r="F24" s="8">
        <v>15</v>
      </c>
      <c r="G24" s="8">
        <v>23</v>
      </c>
      <c r="H24" s="8">
        <v>15</v>
      </c>
      <c r="I24" s="8">
        <v>15</v>
      </c>
      <c r="J24" s="8">
        <v>15</v>
      </c>
      <c r="L24" s="34">
        <v>13</v>
      </c>
      <c r="M24" s="9"/>
      <c r="N24" s="10"/>
    </row>
    <row r="25" spans="1:14" ht="15.75" customHeight="1" x14ac:dyDescent="0.3">
      <c r="A25" s="7" t="s">
        <v>10</v>
      </c>
      <c r="B25" s="8">
        <v>16</v>
      </c>
      <c r="C25" s="8">
        <v>16</v>
      </c>
      <c r="D25" s="8">
        <v>16</v>
      </c>
      <c r="E25" s="8">
        <v>16</v>
      </c>
      <c r="F25" s="8">
        <v>16</v>
      </c>
      <c r="G25" s="8">
        <v>24</v>
      </c>
      <c r="H25" s="8">
        <v>16</v>
      </c>
      <c r="I25" s="8">
        <v>16</v>
      </c>
      <c r="J25" s="8">
        <v>16</v>
      </c>
      <c r="L25" s="33">
        <v>14</v>
      </c>
      <c r="M25" s="9"/>
      <c r="N25" s="10"/>
    </row>
    <row r="26" spans="1:14" ht="15.75" customHeight="1" x14ac:dyDescent="0.3">
      <c r="A26" s="7" t="s">
        <v>10</v>
      </c>
      <c r="B26" s="8">
        <v>17</v>
      </c>
      <c r="C26" s="8">
        <v>17</v>
      </c>
      <c r="D26" s="8">
        <v>17</v>
      </c>
      <c r="E26" s="8">
        <v>17</v>
      </c>
      <c r="F26" s="8">
        <v>17</v>
      </c>
      <c r="G26" s="8">
        <v>25</v>
      </c>
      <c r="H26" s="8">
        <v>17</v>
      </c>
      <c r="I26" s="8">
        <v>17</v>
      </c>
      <c r="J26" s="8">
        <v>17</v>
      </c>
      <c r="L26" s="34">
        <v>15</v>
      </c>
      <c r="M26" s="9"/>
      <c r="N26" s="10"/>
    </row>
    <row r="27" spans="1:14" ht="15.75" customHeight="1" x14ac:dyDescent="0.3">
      <c r="A27" s="7" t="s">
        <v>10</v>
      </c>
      <c r="B27" s="8">
        <v>18</v>
      </c>
      <c r="C27" s="8">
        <v>18</v>
      </c>
      <c r="D27" s="8">
        <v>18</v>
      </c>
      <c r="E27" s="8">
        <v>18</v>
      </c>
      <c r="F27" s="8">
        <v>18</v>
      </c>
      <c r="G27" s="8">
        <v>26</v>
      </c>
      <c r="H27" s="8">
        <v>18</v>
      </c>
      <c r="I27" s="8">
        <v>18</v>
      </c>
      <c r="J27" s="8">
        <v>18</v>
      </c>
      <c r="L27" s="33">
        <v>16</v>
      </c>
      <c r="M27" s="9"/>
      <c r="N27" s="10"/>
    </row>
    <row r="28" spans="1:14" ht="15.75" customHeight="1" x14ac:dyDescent="0.3">
      <c r="A28" s="7" t="s">
        <v>10</v>
      </c>
      <c r="B28" s="8">
        <v>19</v>
      </c>
      <c r="C28" s="8">
        <v>19</v>
      </c>
      <c r="D28" s="8">
        <v>19</v>
      </c>
      <c r="E28" s="8">
        <v>19</v>
      </c>
      <c r="F28" s="8">
        <v>19</v>
      </c>
      <c r="G28" s="8">
        <v>27</v>
      </c>
      <c r="H28" s="8">
        <v>19</v>
      </c>
      <c r="I28" s="8">
        <v>19</v>
      </c>
      <c r="J28" s="8">
        <v>19</v>
      </c>
      <c r="L28" s="34">
        <v>17</v>
      </c>
      <c r="M28" s="9"/>
      <c r="N28" s="10"/>
    </row>
    <row r="29" spans="1:14" ht="15.75" customHeight="1" x14ac:dyDescent="0.3">
      <c r="A29" s="7" t="s">
        <v>10</v>
      </c>
      <c r="B29" s="8">
        <v>20</v>
      </c>
      <c r="C29" s="8">
        <v>20</v>
      </c>
      <c r="D29" s="8">
        <v>20</v>
      </c>
      <c r="E29" s="8">
        <v>20</v>
      </c>
      <c r="F29" s="8">
        <v>20</v>
      </c>
      <c r="G29" s="8">
        <v>28</v>
      </c>
      <c r="H29" s="8">
        <v>20</v>
      </c>
      <c r="I29" s="8">
        <v>20</v>
      </c>
      <c r="J29" s="8">
        <v>20</v>
      </c>
      <c r="L29" s="33">
        <v>18</v>
      </c>
      <c r="M29" s="9"/>
      <c r="N29" s="10"/>
    </row>
    <row r="30" spans="1:14" ht="15.75" customHeight="1" x14ac:dyDescent="0.3">
      <c r="A30" s="7" t="s">
        <v>10</v>
      </c>
      <c r="B30" s="8">
        <v>21</v>
      </c>
      <c r="C30" s="8">
        <v>21</v>
      </c>
      <c r="D30" s="8">
        <v>21</v>
      </c>
      <c r="E30" s="8">
        <v>21</v>
      </c>
      <c r="F30" s="8">
        <v>21</v>
      </c>
      <c r="G30" s="8">
        <v>29</v>
      </c>
      <c r="H30" s="8">
        <v>21</v>
      </c>
      <c r="I30" s="8">
        <v>21</v>
      </c>
      <c r="J30" s="8">
        <v>21</v>
      </c>
      <c r="L30" s="34">
        <v>19</v>
      </c>
      <c r="M30" s="9"/>
      <c r="N30" s="10"/>
    </row>
    <row r="31" spans="1:14" ht="15.75" customHeight="1" x14ac:dyDescent="0.3">
      <c r="A31" s="7" t="s">
        <v>10</v>
      </c>
      <c r="B31" s="8">
        <v>22</v>
      </c>
      <c r="C31" s="8">
        <v>22</v>
      </c>
      <c r="D31" s="8">
        <v>22</v>
      </c>
      <c r="E31" s="8">
        <v>22</v>
      </c>
      <c r="F31" s="8">
        <v>22</v>
      </c>
      <c r="G31" s="8">
        <v>30</v>
      </c>
      <c r="H31" s="8">
        <v>22</v>
      </c>
      <c r="I31" s="8">
        <v>22</v>
      </c>
      <c r="J31" s="8">
        <v>22</v>
      </c>
      <c r="L31" s="33">
        <v>20</v>
      </c>
      <c r="M31" s="9"/>
      <c r="N31" s="10"/>
    </row>
    <row r="32" spans="1:14" ht="15.75" customHeight="1" x14ac:dyDescent="0.3">
      <c r="A32" s="7" t="s">
        <v>10</v>
      </c>
      <c r="B32" s="8">
        <v>23</v>
      </c>
      <c r="C32" s="8">
        <v>23</v>
      </c>
      <c r="D32" s="8">
        <v>23</v>
      </c>
      <c r="E32" s="8">
        <v>23</v>
      </c>
      <c r="F32" s="8">
        <v>23</v>
      </c>
      <c r="G32" s="8">
        <v>31</v>
      </c>
      <c r="H32" s="8">
        <v>23</v>
      </c>
      <c r="I32" s="8">
        <v>23</v>
      </c>
      <c r="J32" s="8">
        <v>23</v>
      </c>
      <c r="L32" s="34">
        <v>21</v>
      </c>
      <c r="M32" s="9"/>
      <c r="N32" s="10"/>
    </row>
    <row r="33" spans="1:19" ht="15.75" customHeight="1" x14ac:dyDescent="0.3">
      <c r="A33" s="7" t="s">
        <v>10</v>
      </c>
      <c r="B33" s="8">
        <v>24</v>
      </c>
      <c r="C33" s="8">
        <v>24</v>
      </c>
      <c r="D33" s="8">
        <v>24</v>
      </c>
      <c r="E33" s="8">
        <v>24</v>
      </c>
      <c r="F33" s="8">
        <v>24</v>
      </c>
      <c r="G33" s="8">
        <v>32</v>
      </c>
      <c r="H33" s="8">
        <v>24</v>
      </c>
      <c r="I33" s="8">
        <v>24</v>
      </c>
      <c r="J33" s="8">
        <v>24</v>
      </c>
      <c r="L33" s="33">
        <v>22</v>
      </c>
      <c r="M33" s="9"/>
      <c r="N33" s="10"/>
    </row>
    <row r="34" spans="1:19" ht="15.75" customHeight="1" x14ac:dyDescent="0.3">
      <c r="A34" s="7" t="s">
        <v>10</v>
      </c>
      <c r="B34" s="8">
        <v>25</v>
      </c>
      <c r="C34" s="8">
        <v>25</v>
      </c>
      <c r="D34" s="8">
        <v>25</v>
      </c>
      <c r="E34" s="8">
        <v>25</v>
      </c>
      <c r="F34" s="8">
        <v>25</v>
      </c>
      <c r="G34" s="8">
        <v>33</v>
      </c>
      <c r="H34" s="8">
        <v>25</v>
      </c>
      <c r="I34" s="8">
        <v>25</v>
      </c>
      <c r="J34" s="8">
        <v>25</v>
      </c>
      <c r="L34" s="34">
        <v>23</v>
      </c>
      <c r="M34" s="9"/>
      <c r="N34" s="10">
        <v>2</v>
      </c>
    </row>
    <row r="35" spans="1:19" ht="15.6" x14ac:dyDescent="0.3">
      <c r="A35" s="11" t="s">
        <v>25</v>
      </c>
      <c r="B35" s="12">
        <f t="shared" ref="B35:J35" si="0">MAX(B11:B34)</f>
        <v>25</v>
      </c>
      <c r="C35" s="12">
        <f t="shared" si="0"/>
        <v>25</v>
      </c>
      <c r="D35" s="12">
        <f t="shared" si="0"/>
        <v>25</v>
      </c>
      <c r="E35" s="13">
        <f t="shared" si="0"/>
        <v>25</v>
      </c>
      <c r="F35" s="12">
        <f t="shared" si="0"/>
        <v>25</v>
      </c>
      <c r="G35" s="12">
        <f t="shared" si="0"/>
        <v>33</v>
      </c>
      <c r="H35" s="13">
        <f t="shared" si="0"/>
        <v>25</v>
      </c>
      <c r="I35" s="13">
        <f t="shared" si="0"/>
        <v>25</v>
      </c>
      <c r="J35" s="13">
        <f t="shared" si="0"/>
        <v>25</v>
      </c>
      <c r="L35" s="14" t="s">
        <v>26</v>
      </c>
      <c r="M35" s="15">
        <f>MAX(M11:M34)</f>
        <v>0</v>
      </c>
      <c r="N35" s="16"/>
    </row>
    <row r="36" spans="1:19" x14ac:dyDescent="0.3">
      <c r="A36" s="11" t="s">
        <v>27</v>
      </c>
      <c r="B36" s="12">
        <f>AVERAGE(B11:B34)</f>
        <v>13.5</v>
      </c>
      <c r="C36" s="12">
        <f t="shared" ref="C36:J36" si="1">AVERAGE(C11:C34)</f>
        <v>13.5</v>
      </c>
      <c r="D36" s="12">
        <f t="shared" si="1"/>
        <v>13.5</v>
      </c>
      <c r="E36" s="13">
        <f t="shared" si="1"/>
        <v>13.5</v>
      </c>
      <c r="F36" s="12">
        <f t="shared" si="1"/>
        <v>13.5</v>
      </c>
      <c r="G36" s="12">
        <f t="shared" si="1"/>
        <v>21.5</v>
      </c>
      <c r="H36" s="13">
        <f t="shared" si="1"/>
        <v>13.5</v>
      </c>
      <c r="I36" s="13">
        <f t="shared" si="1"/>
        <v>13.5</v>
      </c>
      <c r="J36" s="13">
        <f t="shared" si="1"/>
        <v>13.5</v>
      </c>
      <c r="L36" s="14" t="s">
        <v>28</v>
      </c>
      <c r="M36" s="15" t="e">
        <f>AVERAGE(M11:M34)</f>
        <v>#DIV/0!</v>
      </c>
    </row>
    <row r="37" spans="1:19" x14ac:dyDescent="0.3">
      <c r="A37" s="11" t="s">
        <v>29</v>
      </c>
      <c r="B37" s="12">
        <f t="shared" ref="B37:J37" si="2">MIN(B11:B34)</f>
        <v>2</v>
      </c>
      <c r="C37" s="12">
        <f t="shared" si="2"/>
        <v>2</v>
      </c>
      <c r="D37" s="12">
        <f t="shared" si="2"/>
        <v>2</v>
      </c>
      <c r="E37" s="13">
        <f t="shared" si="2"/>
        <v>2</v>
      </c>
      <c r="F37" s="12">
        <f t="shared" si="2"/>
        <v>2</v>
      </c>
      <c r="G37" s="12">
        <f t="shared" si="2"/>
        <v>10</v>
      </c>
      <c r="H37" s="13">
        <f t="shared" si="2"/>
        <v>2</v>
      </c>
      <c r="I37" s="13">
        <f t="shared" si="2"/>
        <v>2</v>
      </c>
      <c r="J37" s="13">
        <f t="shared" si="2"/>
        <v>2</v>
      </c>
      <c r="L37" s="14" t="s">
        <v>30</v>
      </c>
      <c r="M37" s="15">
        <f>MIN(M11:M34)</f>
        <v>0</v>
      </c>
    </row>
    <row r="38" spans="1:19" ht="15.75" customHeight="1" x14ac:dyDescent="0.3">
      <c r="A38" s="17"/>
      <c r="B38" s="18"/>
      <c r="C38" s="19"/>
      <c r="D38" s="19"/>
      <c r="E38" s="19"/>
      <c r="F38" s="19"/>
      <c r="G38" s="19"/>
      <c r="H38" s="20"/>
      <c r="I38" s="21"/>
      <c r="J38" s="22"/>
      <c r="L38" s="23"/>
      <c r="M38" s="24"/>
    </row>
    <row r="39" spans="1:19" ht="15.75" customHeight="1" x14ac:dyDescent="0.3">
      <c r="A39" s="17"/>
      <c r="B39" s="25"/>
      <c r="C39" s="19"/>
      <c r="D39" s="19"/>
      <c r="E39" s="19"/>
      <c r="F39" s="19"/>
      <c r="G39" s="19"/>
      <c r="H39" s="20"/>
      <c r="I39" s="21"/>
      <c r="J39" s="22"/>
      <c r="L39" s="26"/>
      <c r="M39" s="27"/>
      <c r="N39" s="28"/>
      <c r="O39" s="28"/>
    </row>
    <row r="40" spans="1:19" ht="15.75" customHeight="1" x14ac:dyDescent="0.3">
      <c r="I40" s="21"/>
      <c r="L40" s="27"/>
      <c r="M40" s="29"/>
      <c r="N40" s="28"/>
    </row>
    <row r="41" spans="1:19" ht="18.600000000000001" thickBot="1" x14ac:dyDescent="0.4">
      <c r="D41" s="37" t="s">
        <v>0</v>
      </c>
      <c r="E41" s="37"/>
      <c r="F41" s="37"/>
      <c r="G41" s="37"/>
      <c r="H41" s="37"/>
      <c r="I41" s="37"/>
      <c r="J41" s="1"/>
      <c r="M41" s="29"/>
      <c r="O41" s="29"/>
      <c r="P41" s="29"/>
      <c r="Q41" s="29"/>
      <c r="R41" s="28"/>
      <c r="S41" s="28"/>
    </row>
    <row r="42" spans="1:19" x14ac:dyDescent="0.3">
      <c r="A42" s="36" t="e" vm="1">
        <v>#VALUE!</v>
      </c>
      <c r="B42" s="36"/>
      <c r="C42" s="36"/>
      <c r="D42" s="38" t="str">
        <f>+D2</f>
        <v xml:space="preserve">Coordinación de Operación De Explotación </v>
      </c>
      <c r="E42" s="38"/>
      <c r="F42" s="38"/>
      <c r="G42" s="38"/>
      <c r="H42" s="38"/>
      <c r="I42" s="38"/>
      <c r="K42" s="40" t="e" vm="2">
        <v>#VALUE!</v>
      </c>
      <c r="L42" s="40"/>
      <c r="M42" s="40"/>
      <c r="N42" s="2"/>
    </row>
    <row r="43" spans="1:19" x14ac:dyDescent="0.3">
      <c r="A43" s="36"/>
      <c r="B43" s="36"/>
      <c r="C43" s="36"/>
      <c r="D43" s="36" t="str">
        <f>+D3</f>
        <v>Contrato 425014809</v>
      </c>
      <c r="E43" s="36"/>
      <c r="F43" s="36"/>
      <c r="G43" s="36"/>
      <c r="H43" s="36"/>
      <c r="I43" s="36"/>
      <c r="K43" s="40"/>
      <c r="L43" s="40"/>
      <c r="M43" s="40"/>
      <c r="N43" s="2"/>
    </row>
    <row r="44" spans="1:19" ht="27.6" customHeight="1" x14ac:dyDescent="0.3">
      <c r="A44" s="36"/>
      <c r="B44" s="36"/>
      <c r="C44" s="36"/>
      <c r="D44" s="39" t="str">
        <f>+D4</f>
        <v>Pozo IRIDE 5108</v>
      </c>
      <c r="E44" s="39"/>
      <c r="F44" s="39"/>
      <c r="G44" s="39"/>
      <c r="H44" s="39"/>
      <c r="I44" s="39"/>
      <c r="K44" s="40"/>
      <c r="L44" s="40"/>
      <c r="M44" s="40"/>
      <c r="N44" s="2"/>
    </row>
    <row r="45" spans="1:19" x14ac:dyDescent="0.3">
      <c r="D45" s="36" t="str">
        <f>+D5</f>
        <v>Supervisor Ing. Angel Adrian Castro Acosta.</v>
      </c>
      <c r="E45" s="36"/>
      <c r="F45" s="36"/>
      <c r="G45" s="36"/>
      <c r="H45" s="36"/>
      <c r="I45" s="36"/>
    </row>
    <row r="46" spans="1:19" ht="15" thickBot="1" x14ac:dyDescent="0.35">
      <c r="D46" s="35" t="str">
        <f>+D6</f>
        <v>Activo De Extraccion Samaria Luna</v>
      </c>
      <c r="E46" s="35"/>
      <c r="F46" s="35"/>
      <c r="G46" s="35"/>
      <c r="H46" s="35"/>
      <c r="I46" s="35"/>
    </row>
    <row r="47" spans="1:19" ht="16.5" customHeight="1" thickBot="1" x14ac:dyDescent="0.35">
      <c r="A47" s="52" t="s">
        <v>31</v>
      </c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54"/>
    </row>
    <row r="48" spans="1:19" ht="15.75" customHeight="1" x14ac:dyDescent="0.3">
      <c r="A48" s="41" t="s">
        <v>32</v>
      </c>
      <c r="B48" s="42"/>
      <c r="C48" s="42"/>
      <c r="D48" s="42"/>
      <c r="E48" s="42"/>
      <c r="F48" s="42"/>
      <c r="G48" s="42"/>
      <c r="H48" s="42"/>
      <c r="I48" s="42"/>
      <c r="J48" s="42"/>
      <c r="K48" s="42"/>
      <c r="L48" s="43"/>
    </row>
    <row r="49" spans="1:12" ht="13.95" customHeight="1" x14ac:dyDescent="0.3">
      <c r="A49" s="44"/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6"/>
    </row>
    <row r="50" spans="1:12" ht="15.75" customHeight="1" x14ac:dyDescent="0.3">
      <c r="A50" s="30"/>
      <c r="B50" s="30"/>
      <c r="C50" s="30"/>
      <c r="D50" s="30"/>
      <c r="E50" s="30"/>
      <c r="F50" s="30"/>
      <c r="G50" s="30"/>
      <c r="H50" s="31"/>
      <c r="I50" s="31"/>
      <c r="J50" s="32"/>
      <c r="K50" s="30"/>
      <c r="L50" s="30"/>
    </row>
    <row r="51" spans="1:12" ht="16.2" customHeight="1" x14ac:dyDescent="0.3"/>
    <row r="64" spans="1:12" ht="15.75" customHeight="1" x14ac:dyDescent="0.3"/>
  </sheetData>
  <mergeCells count="23">
    <mergeCell ref="A42:C44"/>
    <mergeCell ref="K4:M6"/>
    <mergeCell ref="K42:M44"/>
    <mergeCell ref="A4:C6"/>
    <mergeCell ref="A48:L49"/>
    <mergeCell ref="B8:E8"/>
    <mergeCell ref="F8:J8"/>
    <mergeCell ref="L8:L9"/>
    <mergeCell ref="M8:M9"/>
    <mergeCell ref="A9:A10"/>
    <mergeCell ref="D41:I41"/>
    <mergeCell ref="D42:I42"/>
    <mergeCell ref="D43:I43"/>
    <mergeCell ref="D44:I44"/>
    <mergeCell ref="D45:I45"/>
    <mergeCell ref="A47:L47"/>
    <mergeCell ref="D46:I46"/>
    <mergeCell ref="D6:I6"/>
    <mergeCell ref="D1:I1"/>
    <mergeCell ref="D2:I2"/>
    <mergeCell ref="D3:I3"/>
    <mergeCell ref="D4:I4"/>
    <mergeCell ref="D5:I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Garcia Jeronimo</dc:creator>
  <cp:lastModifiedBy>David Garcia Jeronimo</cp:lastModifiedBy>
  <dcterms:created xsi:type="dcterms:W3CDTF">2025-11-27T18:52:31Z</dcterms:created>
  <dcterms:modified xsi:type="dcterms:W3CDTF">2025-12-10T14:54:20Z</dcterms:modified>
</cp:coreProperties>
</file>