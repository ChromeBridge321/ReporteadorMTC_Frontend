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mae\OneDrive\Escritorio\Reporteador\Frontend\public\"/>
    </mc:Choice>
  </mc:AlternateContent>
  <xr:revisionPtr revIDLastSave="0" documentId="13_ncr:1_{01AB8A72-4CEC-4E7A-8D29-4B51AE175BED}" xr6:coauthVersionLast="47" xr6:coauthVersionMax="47" xr10:uidLastSave="{00000000-0000-0000-0000-000000000000}"/>
  <bookViews>
    <workbookView xWindow="28680" yWindow="-120" windowWidth="29040" windowHeight="15720" xr2:uid="{11315CA4-D2DE-451E-A7A8-FF9D3E544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D45" i="1"/>
  <c r="D44" i="1"/>
  <c r="D43" i="1"/>
  <c r="D42" i="1"/>
  <c r="M37" i="1"/>
  <c r="J37" i="1"/>
  <c r="I37" i="1"/>
  <c r="H37" i="1"/>
  <c r="G37" i="1"/>
  <c r="F37" i="1"/>
  <c r="E37" i="1"/>
  <c r="D37" i="1"/>
  <c r="C37" i="1"/>
  <c r="B37" i="1"/>
  <c r="M36" i="1"/>
  <c r="J36" i="1"/>
  <c r="I36" i="1"/>
  <c r="H36" i="1"/>
  <c r="G36" i="1"/>
  <c r="F36" i="1"/>
  <c r="E36" i="1"/>
  <c r="D36" i="1"/>
  <c r="C36" i="1"/>
  <c r="B36" i="1"/>
  <c r="M35" i="1"/>
  <c r="J35" i="1"/>
  <c r="I35" i="1"/>
  <c r="H35" i="1"/>
  <c r="G35" i="1"/>
  <c r="F35" i="1"/>
  <c r="E35" i="1"/>
  <c r="D35" i="1"/>
  <c r="C35" i="1"/>
  <c r="B3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<sst xmlns="http://schemas.openxmlformats.org/spreadsheetml/2006/main" count="64" uniqueCount="33">
  <si>
    <t>Subdireccion De Extraccion Region Terrestre Sur</t>
  </si>
  <si>
    <t xml:space="preserve">Coordinación de Operación De Explotación </t>
  </si>
  <si>
    <t>Contrato 425014809</t>
  </si>
  <si>
    <t>Pozo IRIDE 5108</t>
  </si>
  <si>
    <t>Supervisor Ing. Angel Adrian Castro Acosta.</t>
  </si>
  <si>
    <t>Activo De Extraccion Samaria Luna</t>
  </si>
  <si>
    <t>POZO</t>
  </si>
  <si>
    <t>EQUIPO MTC</t>
  </si>
  <si>
    <t>T. Oper</t>
  </si>
  <si>
    <t>Q iny</t>
  </si>
  <si>
    <t>FECHA</t>
  </si>
  <si>
    <t>TP</t>
  </si>
  <si>
    <t>TR</t>
  </si>
  <si>
    <t>LDD</t>
  </si>
  <si>
    <t>T. Pozo</t>
  </si>
  <si>
    <t>P Succ</t>
  </si>
  <si>
    <t>P desc</t>
  </si>
  <si>
    <t>R.P.M.</t>
  </si>
  <si>
    <t>T desc</t>
  </si>
  <si>
    <t>T succ</t>
  </si>
  <si>
    <t>kg/cm2</t>
  </si>
  <si>
    <t>°C</t>
  </si>
  <si>
    <t>Vel.</t>
  </si>
  <si>
    <t>MTC.</t>
  </si>
  <si>
    <t>MMPCD</t>
  </si>
  <si>
    <t>V. MAX</t>
  </si>
  <si>
    <t>MAX.</t>
  </si>
  <si>
    <t>V. PROM.</t>
  </si>
  <si>
    <t>PROM.</t>
  </si>
  <si>
    <t>V. MIN</t>
  </si>
  <si>
    <t>MIN.</t>
  </si>
  <si>
    <t>OBSERVACIONES</t>
  </si>
  <si>
    <t>EQUIPO OPERANDO NORMAL LAS 24:00 HRS.     
ACCESO CERRADO POR LAS NOCHES.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</si>
</sst>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dd\-mmm\-yy\ hh:mm"/>
    <numFmt numFmtId="166" formatCode="0.0"/>
  </numFmts>
  <fonts count="1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b/>
      <sz val="8"/>
      <color rgb="FFFF000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2"/>
      <color rgb="FFFFFFFF"/>
      <name val="Aptos Narrow"/>
      <family val="2"/>
      <scheme val="minor"/>
    </font>
    <font>
      <sz val="12"/>
      <color rgb="FFF8F8F8"/>
      <name val="Aptos Narrow"/>
      <family val="2"/>
      <scheme val="minor"/>
    </font>
    <font>
      <b/>
      <sz val="8"/>
      <color indexed="10"/>
      <name val="Arial"/>
      <family val="2"/>
    </font>
    <font>
      <b/>
      <sz val="9"/>
      <color indexed="1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slantDashDot">
        <color rgb="FF000090"/>
      </bottom>
      <diagonal/>
    </border>
    <border>
      <left/>
      <right/>
      <top style="slantDashDot">
        <color rgb="FF00009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5">
    <xf numFmtId="0" fontId="0" fillId="0" borderId="0" xfId="0"/>
    <xf numFmtId="1" fontId="3" fillId="0" borderId="0" xfId="1" applyNumberFormat="1" applyFont="1" applyAlignment="1">
      <alignment vertical="center" wrapText="1"/>
    </xf>
    <xf numFmtId="1" fontId="0" fillId="0" borderId="0" xfId="0" applyNumberFormat="1"/>
    <xf numFmtId="0" fontId="2" fillId="0" borderId="0" xfId="1"/>
    <xf numFmtId="0" fontId="5" fillId="2" borderId="3" xfId="2" applyFont="1" applyFill="1" applyBorder="1" applyAlignment="1">
      <alignment horizontal="center"/>
    </xf>
    <xf numFmtId="1" fontId="5" fillId="2" borderId="3" xfId="2" applyNumberFormat="1" applyFont="1" applyFill="1" applyBorder="1" applyAlignment="1">
      <alignment horizontal="center"/>
    </xf>
    <xf numFmtId="164" fontId="5" fillId="2" borderId="3" xfId="2" applyNumberFormat="1" applyFont="1" applyFill="1" applyBorder="1" applyAlignment="1">
      <alignment horizontal="center"/>
    </xf>
    <xf numFmtId="165" fontId="2" fillId="0" borderId="3" xfId="2" applyNumberFormat="1" applyBorder="1" applyAlignment="1">
      <alignment horizontal="center" vertical="center"/>
    </xf>
    <xf numFmtId="166" fontId="6" fillId="0" borderId="3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164" fontId="6" fillId="0" borderId="3" xfId="2" applyNumberFormat="1" applyFont="1" applyBorder="1" applyAlignment="1">
      <alignment horizontal="center" vertical="center"/>
    </xf>
    <xf numFmtId="0" fontId="7" fillId="0" borderId="0" xfId="0" applyFont="1"/>
    <xf numFmtId="14" fontId="5" fillId="3" borderId="0" xfId="1" applyNumberFormat="1" applyFont="1" applyFill="1"/>
    <xf numFmtId="166" fontId="5" fillId="3" borderId="0" xfId="1" applyNumberFormat="1" applyFont="1" applyFill="1" applyAlignment="1">
      <alignment horizontal="center"/>
    </xf>
    <xf numFmtId="1" fontId="5" fillId="3" borderId="0" xfId="1" applyNumberFormat="1" applyFont="1" applyFill="1" applyAlignment="1">
      <alignment horizontal="center"/>
    </xf>
    <xf numFmtId="0" fontId="5" fillId="3" borderId="0" xfId="1" applyFont="1" applyFill="1" applyAlignment="1">
      <alignment horizontal="center"/>
    </xf>
    <xf numFmtId="164" fontId="5" fillId="3" borderId="0" xfId="1" applyNumberFormat="1" applyFont="1" applyFill="1" applyAlignment="1">
      <alignment horizontal="center"/>
    </xf>
    <xf numFmtId="0" fontId="8" fillId="0" borderId="0" xfId="0" applyFont="1"/>
    <xf numFmtId="15" fontId="9" fillId="0" borderId="0" xfId="1" applyNumberFormat="1" applyFont="1" applyAlignment="1">
      <alignment horizontal="right"/>
    </xf>
    <xf numFmtId="15" fontId="9" fillId="0" borderId="0" xfId="1" applyNumberFormat="1" applyFont="1" applyAlignment="1">
      <alignment horizontal="left"/>
    </xf>
    <xf numFmtId="0" fontId="2" fillId="0" borderId="0" xfId="1" applyAlignment="1">
      <alignment horizontal="center"/>
    </xf>
    <xf numFmtId="1" fontId="2" fillId="0" borderId="0" xfId="1" applyNumberFormat="1" applyAlignment="1">
      <alignment horizontal="center"/>
    </xf>
    <xf numFmtId="1" fontId="9" fillId="0" borderId="0" xfId="1" applyNumberFormat="1" applyFont="1" applyAlignment="1">
      <alignment wrapText="1"/>
    </xf>
    <xf numFmtId="1" fontId="2" fillId="0" borderId="0" xfId="1" applyNumberFormat="1"/>
    <xf numFmtId="14" fontId="10" fillId="0" borderId="0" xfId="1" applyNumberFormat="1" applyFont="1"/>
    <xf numFmtId="0" fontId="6" fillId="0" borderId="0" xfId="1" applyFont="1"/>
    <xf numFmtId="0" fontId="3" fillId="0" borderId="0" xfId="1" applyFont="1" applyAlignment="1">
      <alignment horizontal="left"/>
    </xf>
    <xf numFmtId="20" fontId="10" fillId="0" borderId="0" xfId="1" applyNumberFormat="1" applyFont="1"/>
    <xf numFmtId="20" fontId="6" fillId="0" borderId="0" xfId="1" applyNumberFormat="1" applyFont="1"/>
    <xf numFmtId="46" fontId="0" fillId="0" borderId="0" xfId="0" applyNumberFormat="1"/>
    <xf numFmtId="20" fontId="0" fillId="0" borderId="0" xfId="0" applyNumberFormat="1"/>
    <xf numFmtId="0" fontId="12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4" borderId="1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4" fillId="0" borderId="3" xfId="2" applyFont="1" applyBorder="1" applyAlignment="1">
      <alignment horizontal="center"/>
    </xf>
    <xf numFmtId="0" fontId="5" fillId="0" borderId="4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5" fillId="2" borderId="5" xfId="2" applyFont="1" applyFill="1" applyBorder="1" applyAlignment="1">
      <alignment horizontal="center"/>
    </xf>
    <xf numFmtId="0" fontId="5" fillId="2" borderId="7" xfId="2" applyFont="1" applyFill="1" applyBorder="1" applyAlignment="1">
      <alignment horizontal="center"/>
    </xf>
    <xf numFmtId="14" fontId="11" fillId="4" borderId="8" xfId="0" applyNumberFormat="1" applyFont="1" applyFill="1" applyBorder="1" applyAlignment="1">
      <alignment horizontal="center" vertical="center"/>
    </xf>
    <xf numFmtId="14" fontId="11" fillId="4" borderId="9" xfId="0" applyNumberFormat="1" applyFont="1" applyFill="1" applyBorder="1" applyAlignment="1">
      <alignment horizontal="center" vertical="center"/>
    </xf>
    <xf numFmtId="14" fontId="11" fillId="4" borderId="10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/>
    <xf numFmtId="0" fontId="0" fillId="0" borderId="0" xfId="0" applyAlignment="1"/>
  </cellXfs>
  <cellStyles count="3">
    <cellStyle name="Normal" xfId="0" builtinId="0"/>
    <cellStyle name="Normal 2" xfId="2" xr:uid="{0E134AEF-D3E7-40F8-A52B-937090A08F9B}"/>
    <cellStyle name="Normal 3" xfId="1" xr:uid="{CA841F5F-BA47-4392-826E-91AEFCBEA0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65adb373-c27c-46ae-a553-68d93f73d70f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A0F4-6A84-44E9-BF44-DE33A70EE4B7}">
  <dimension ref="A1:S64"/>
  <sheetViews>
    <sheetView tabSelected="1" zoomScaleNormal="100" workbookViewId="0">
      <selection activeCell="M50" sqref="M50"/>
    </sheetView>
  </sheetViews>
  <sheetFormatPr defaultColWidth="12.21875" defaultRowHeight="14.4" x14ac:dyDescent="0.3"/>
  <cols>
    <col min="1" max="1" width="16.33203125" customWidth="1"/>
    <col min="2" max="7" width="10" customWidth="1"/>
    <col min="8" max="10" width="10" style="2" customWidth="1"/>
    <col min="11" max="11" width="10" customWidth="1"/>
    <col min="12" max="12" width="15.109375" customWidth="1"/>
    <col min="13" max="13" width="14.88671875" customWidth="1"/>
    <col min="14" max="14" width="2.33203125" hidden="1" customWidth="1"/>
    <col min="15" max="42" width="10" customWidth="1"/>
  </cols>
  <sheetData>
    <row r="1" spans="1:14" ht="18.600000000000001" thickBot="1" x14ac:dyDescent="0.4">
      <c r="D1" s="35" t="s">
        <v>0</v>
      </c>
      <c r="E1" s="35"/>
      <c r="F1" s="35"/>
      <c r="G1" s="35"/>
      <c r="H1" s="35"/>
      <c r="I1" s="35"/>
      <c r="J1" s="1"/>
    </row>
    <row r="2" spans="1:14" x14ac:dyDescent="0.3">
      <c r="D2" s="36" t="s">
        <v>1</v>
      </c>
      <c r="E2" s="36"/>
      <c r="F2" s="36"/>
      <c r="G2" s="36"/>
      <c r="H2" s="36"/>
      <c r="I2" s="36"/>
    </row>
    <row r="3" spans="1:14" x14ac:dyDescent="0.3">
      <c r="A3" s="54"/>
      <c r="B3" s="54"/>
      <c r="C3" s="54"/>
      <c r="D3" s="34" t="s">
        <v>2</v>
      </c>
      <c r="E3" s="34"/>
      <c r="F3" s="34"/>
      <c r="G3" s="34"/>
      <c r="H3" s="34"/>
      <c r="I3" s="34"/>
      <c r="J3" s="53"/>
      <c r="K3" s="53"/>
      <c r="L3" s="53"/>
    </row>
    <row r="4" spans="1:14" x14ac:dyDescent="0.3">
      <c r="A4" s="34" t="e" vm="1">
        <v>#VALUE!</v>
      </c>
      <c r="B4" s="34"/>
      <c r="C4" s="34"/>
      <c r="D4" s="34" t="s">
        <v>3</v>
      </c>
      <c r="E4" s="34"/>
      <c r="F4" s="34"/>
      <c r="G4" s="34"/>
      <c r="H4" s="34"/>
      <c r="I4" s="34"/>
      <c r="J4" s="53"/>
      <c r="K4" s="51" t="e" vm="2">
        <v>#VALUE!</v>
      </c>
      <c r="L4" s="51"/>
      <c r="M4" s="51"/>
    </row>
    <row r="5" spans="1:14" ht="22.8" customHeight="1" x14ac:dyDescent="0.3">
      <c r="A5" s="34"/>
      <c r="B5" s="34"/>
      <c r="C5" s="34"/>
      <c r="D5" s="52" t="s">
        <v>4</v>
      </c>
      <c r="E5" s="52"/>
      <c r="F5" s="52"/>
      <c r="G5" s="52"/>
      <c r="H5" s="52"/>
      <c r="I5" s="52"/>
      <c r="J5" s="53"/>
      <c r="K5" s="51"/>
      <c r="L5" s="51"/>
      <c r="M5" s="51"/>
    </row>
    <row r="6" spans="1:14" x14ac:dyDescent="0.3">
      <c r="A6" s="34"/>
      <c r="B6" s="34"/>
      <c r="C6" s="34"/>
      <c r="D6" s="34" t="s">
        <v>5</v>
      </c>
      <c r="E6" s="34"/>
      <c r="F6" s="34"/>
      <c r="G6" s="34"/>
      <c r="H6" s="34"/>
      <c r="I6" s="34"/>
      <c r="K6" s="51"/>
      <c r="L6" s="51"/>
      <c r="M6" s="51"/>
    </row>
    <row r="7" spans="1:14" ht="15" customHeight="1" x14ac:dyDescent="0.3"/>
    <row r="8" spans="1:14" ht="15.6" x14ac:dyDescent="0.3">
      <c r="A8" s="3"/>
      <c r="B8" s="43" t="s">
        <v>6</v>
      </c>
      <c r="C8" s="43"/>
      <c r="D8" s="43"/>
      <c r="E8" s="43"/>
      <c r="F8" s="43" t="s">
        <v>7</v>
      </c>
      <c r="G8" s="43"/>
      <c r="H8" s="43"/>
      <c r="I8" s="43"/>
      <c r="J8" s="43"/>
      <c r="L8" s="44" t="s">
        <v>8</v>
      </c>
      <c r="M8" s="44" t="s">
        <v>9</v>
      </c>
    </row>
    <row r="9" spans="1:14" ht="15" customHeight="1" x14ac:dyDescent="0.3">
      <c r="A9" s="46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5" t="s">
        <v>17</v>
      </c>
      <c r="I9" s="5" t="s">
        <v>18</v>
      </c>
      <c r="J9" s="5" t="s">
        <v>19</v>
      </c>
      <c r="L9" s="45"/>
      <c r="M9" s="45"/>
    </row>
    <row r="10" spans="1:14" x14ac:dyDescent="0.3">
      <c r="A10" s="47"/>
      <c r="B10" s="4" t="s">
        <v>20</v>
      </c>
      <c r="C10" s="4" t="s">
        <v>20</v>
      </c>
      <c r="D10" s="4" t="s">
        <v>20</v>
      </c>
      <c r="E10" s="6" t="s">
        <v>21</v>
      </c>
      <c r="F10" s="4" t="s">
        <v>20</v>
      </c>
      <c r="G10" s="4" t="s">
        <v>20</v>
      </c>
      <c r="H10" s="5" t="s">
        <v>22</v>
      </c>
      <c r="I10" s="5" t="s">
        <v>21</v>
      </c>
      <c r="J10" s="5" t="s">
        <v>21</v>
      </c>
      <c r="L10" s="4" t="s">
        <v>23</v>
      </c>
      <c r="M10" s="4" t="s">
        <v>24</v>
      </c>
    </row>
    <row r="11" spans="1:14" ht="15.75" customHeight="1" x14ac:dyDescent="0.3">
      <c r="A11" s="7" t="s">
        <v>10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L11" s="9"/>
      <c r="M11" s="10"/>
      <c r="N11" s="11"/>
    </row>
    <row r="12" spans="1:14" ht="15.75" customHeight="1" x14ac:dyDescent="0.3">
      <c r="A12" s="7" t="s">
        <v>10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L12" s="9"/>
      <c r="M12" s="10"/>
      <c r="N12" s="11"/>
    </row>
    <row r="13" spans="1:14" ht="15.75" customHeight="1" x14ac:dyDescent="0.3">
      <c r="A13" s="7" t="s">
        <v>10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L13" s="9"/>
      <c r="M13" s="10"/>
      <c r="N13" s="11"/>
    </row>
    <row r="14" spans="1:14" ht="15.75" customHeight="1" x14ac:dyDescent="0.3">
      <c r="A14" s="7" t="s">
        <v>10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L14" s="9"/>
      <c r="M14" s="10"/>
      <c r="N14" s="11"/>
    </row>
    <row r="15" spans="1:14" ht="15.75" customHeight="1" x14ac:dyDescent="0.3">
      <c r="A15" s="7" t="s">
        <v>10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L15" s="9"/>
      <c r="M15" s="10"/>
      <c r="N15" s="11"/>
    </row>
    <row r="16" spans="1:14" ht="15.75" customHeight="1" x14ac:dyDescent="0.3">
      <c r="A16" s="7" t="s">
        <v>10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L16" s="9"/>
      <c r="M16" s="10"/>
      <c r="N16" s="11"/>
    </row>
    <row r="17" spans="1:14" ht="15.75" customHeight="1" x14ac:dyDescent="0.3">
      <c r="A17" s="7" t="s">
        <v>10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L17" s="9"/>
      <c r="M17" s="10"/>
      <c r="N17" s="11"/>
    </row>
    <row r="18" spans="1:14" ht="15.75" customHeight="1" x14ac:dyDescent="0.3">
      <c r="A18" s="7" t="s">
        <v>10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L18" s="9"/>
      <c r="M18" s="10"/>
      <c r="N18" s="11"/>
    </row>
    <row r="19" spans="1:14" ht="15.75" customHeight="1" x14ac:dyDescent="0.3">
      <c r="A19" s="7" t="s">
        <v>10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L19" s="9"/>
      <c r="M19" s="10"/>
      <c r="N19" s="11"/>
    </row>
    <row r="20" spans="1:14" ht="15.75" customHeight="1" x14ac:dyDescent="0.3">
      <c r="A20" s="7" t="s">
        <v>10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L20" s="9"/>
      <c r="M20" s="10"/>
      <c r="N20" s="11"/>
    </row>
    <row r="21" spans="1:14" ht="15.75" customHeight="1" x14ac:dyDescent="0.3">
      <c r="A21" s="7" t="s">
        <v>10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L21" s="9"/>
      <c r="M21" s="10"/>
      <c r="N21" s="11"/>
    </row>
    <row r="22" spans="1:14" ht="15.75" customHeight="1" x14ac:dyDescent="0.3">
      <c r="A22" s="7" t="s">
        <v>10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L22" s="9"/>
      <c r="M22" s="10"/>
      <c r="N22" s="11"/>
    </row>
    <row r="23" spans="1:14" ht="15.75" customHeight="1" x14ac:dyDescent="0.3">
      <c r="A23" s="7" t="s">
        <v>10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L23" s="9"/>
      <c r="M23" s="10"/>
      <c r="N23" s="11"/>
    </row>
    <row r="24" spans="1:14" ht="15.75" customHeight="1" x14ac:dyDescent="0.3">
      <c r="A24" s="7" t="s">
        <v>10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L24" s="9"/>
      <c r="M24" s="10"/>
      <c r="N24" s="11"/>
    </row>
    <row r="25" spans="1:14" ht="15.75" customHeight="1" x14ac:dyDescent="0.3">
      <c r="A25" s="7" t="s">
        <v>10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L25" s="9"/>
      <c r="M25" s="10"/>
      <c r="N25" s="11"/>
    </row>
    <row r="26" spans="1:14" ht="15.75" customHeight="1" x14ac:dyDescent="0.3">
      <c r="A26" s="7" t="s">
        <v>10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L26" s="9"/>
      <c r="M26" s="10"/>
      <c r="N26" s="11"/>
    </row>
    <row r="27" spans="1:14" ht="15.75" customHeight="1" x14ac:dyDescent="0.3">
      <c r="A27" s="7" t="s">
        <v>10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L27" s="9"/>
      <c r="M27" s="10"/>
      <c r="N27" s="11"/>
    </row>
    <row r="28" spans="1:14" ht="15.75" customHeight="1" x14ac:dyDescent="0.3">
      <c r="A28" s="7" t="s">
        <v>10</v>
      </c>
      <c r="B28" s="8">
        <v>0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L28" s="9"/>
      <c r="M28" s="10"/>
      <c r="N28" s="11"/>
    </row>
    <row r="29" spans="1:14" ht="15.75" customHeight="1" x14ac:dyDescent="0.3">
      <c r="A29" s="7" t="s">
        <v>10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L29" s="9"/>
      <c r="M29" s="10"/>
      <c r="N29" s="11"/>
    </row>
    <row r="30" spans="1:14" ht="15.75" customHeight="1" x14ac:dyDescent="0.3">
      <c r="A30" s="7" t="s">
        <v>10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L30" s="9"/>
      <c r="M30" s="10"/>
      <c r="N30" s="11"/>
    </row>
    <row r="31" spans="1:14" ht="15.75" customHeight="1" x14ac:dyDescent="0.3">
      <c r="A31" s="7" t="s">
        <v>10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L31" s="9"/>
      <c r="M31" s="10"/>
      <c r="N31" s="11"/>
    </row>
    <row r="32" spans="1:14" ht="15.75" customHeight="1" x14ac:dyDescent="0.3">
      <c r="A32" s="7" t="s">
        <v>10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L32" s="9"/>
      <c r="M32" s="10"/>
      <c r="N32" s="11"/>
    </row>
    <row r="33" spans="1:19" ht="15.75" customHeight="1" x14ac:dyDescent="0.3">
      <c r="A33" s="7" t="s">
        <v>10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L33" s="9"/>
      <c r="M33" s="10"/>
      <c r="N33" s="11"/>
    </row>
    <row r="34" spans="1:19" ht="15.75" customHeight="1" x14ac:dyDescent="0.3">
      <c r="A34" s="7" t="s">
        <v>10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L34" s="9"/>
      <c r="M34" s="10"/>
      <c r="N34" s="11">
        <v>2</v>
      </c>
    </row>
    <row r="35" spans="1:19" ht="15.6" x14ac:dyDescent="0.3">
      <c r="A35" s="12" t="s">
        <v>25</v>
      </c>
      <c r="B35" s="13">
        <f t="shared" ref="B35:J35" si="0">MAX(B11:B34)</f>
        <v>0</v>
      </c>
      <c r="C35" s="13">
        <f t="shared" si="0"/>
        <v>0</v>
      </c>
      <c r="D35" s="13">
        <f t="shared" si="0"/>
        <v>0</v>
      </c>
      <c r="E35" s="14">
        <f t="shared" si="0"/>
        <v>0</v>
      </c>
      <c r="F35" s="13">
        <f t="shared" si="0"/>
        <v>0</v>
      </c>
      <c r="G35" s="13">
        <f t="shared" si="0"/>
        <v>0</v>
      </c>
      <c r="H35" s="14">
        <f t="shared" si="0"/>
        <v>0</v>
      </c>
      <c r="I35" s="14">
        <f t="shared" si="0"/>
        <v>0</v>
      </c>
      <c r="J35" s="14">
        <f t="shared" si="0"/>
        <v>0</v>
      </c>
      <c r="L35" s="15" t="s">
        <v>26</v>
      </c>
      <c r="M35" s="16">
        <f>MAX(M11:M34)</f>
        <v>0</v>
      </c>
      <c r="N35" s="17"/>
    </row>
    <row r="36" spans="1:19" x14ac:dyDescent="0.3">
      <c r="A36" s="12" t="s">
        <v>27</v>
      </c>
      <c r="B36" s="13">
        <f>AVERAGE(B11:B34)</f>
        <v>0</v>
      </c>
      <c r="C36" s="13">
        <f t="shared" ref="C36:J36" si="1">AVERAGE(C11:C34)</f>
        <v>0</v>
      </c>
      <c r="D36" s="13">
        <f t="shared" si="1"/>
        <v>0</v>
      </c>
      <c r="E36" s="14">
        <f t="shared" si="1"/>
        <v>0</v>
      </c>
      <c r="F36" s="13">
        <f t="shared" si="1"/>
        <v>0</v>
      </c>
      <c r="G36" s="13">
        <f t="shared" si="1"/>
        <v>0</v>
      </c>
      <c r="H36" s="14">
        <f t="shared" si="1"/>
        <v>0</v>
      </c>
      <c r="I36" s="14">
        <f t="shared" si="1"/>
        <v>0</v>
      </c>
      <c r="J36" s="14">
        <f t="shared" si="1"/>
        <v>0</v>
      </c>
      <c r="L36" s="15" t="s">
        <v>28</v>
      </c>
      <c r="M36" s="16" t="e">
        <f>AVERAGE(M11:M34)</f>
        <v>#DIV/0!</v>
      </c>
    </row>
    <row r="37" spans="1:19" x14ac:dyDescent="0.3">
      <c r="A37" s="12" t="s">
        <v>29</v>
      </c>
      <c r="B37" s="13">
        <f t="shared" ref="B37:J37" si="2">MIN(B11:B34)</f>
        <v>0</v>
      </c>
      <c r="C37" s="13">
        <f t="shared" si="2"/>
        <v>0</v>
      </c>
      <c r="D37" s="13">
        <f t="shared" si="2"/>
        <v>0</v>
      </c>
      <c r="E37" s="14">
        <f t="shared" si="2"/>
        <v>0</v>
      </c>
      <c r="F37" s="13">
        <f t="shared" si="2"/>
        <v>0</v>
      </c>
      <c r="G37" s="13">
        <f t="shared" si="2"/>
        <v>0</v>
      </c>
      <c r="H37" s="14">
        <f t="shared" si="2"/>
        <v>0</v>
      </c>
      <c r="I37" s="14">
        <f t="shared" si="2"/>
        <v>0</v>
      </c>
      <c r="J37" s="14">
        <f t="shared" si="2"/>
        <v>0</v>
      </c>
      <c r="L37" s="15" t="s">
        <v>30</v>
      </c>
      <c r="M37" s="16">
        <f>MIN(M11:M34)</f>
        <v>0</v>
      </c>
    </row>
    <row r="38" spans="1:19" ht="15.75" customHeight="1" x14ac:dyDescent="0.3">
      <c r="A38" s="18"/>
      <c r="B38" s="19"/>
      <c r="C38" s="20"/>
      <c r="D38" s="20"/>
      <c r="E38" s="20"/>
      <c r="F38" s="20"/>
      <c r="G38" s="20"/>
      <c r="H38" s="21"/>
      <c r="I38" s="22"/>
      <c r="J38" s="23"/>
      <c r="L38" s="24"/>
      <c r="M38" s="25"/>
    </row>
    <row r="39" spans="1:19" ht="15.75" customHeight="1" x14ac:dyDescent="0.3">
      <c r="A39" s="18"/>
      <c r="B39" s="26"/>
      <c r="C39" s="20"/>
      <c r="D39" s="20"/>
      <c r="E39" s="20"/>
      <c r="F39" s="20"/>
      <c r="G39" s="20"/>
      <c r="H39" s="21"/>
      <c r="I39" s="22"/>
      <c r="J39" s="23"/>
      <c r="L39" s="27"/>
      <c r="M39" s="28"/>
      <c r="N39" s="29"/>
      <c r="O39" s="29"/>
    </row>
    <row r="40" spans="1:19" ht="15.75" customHeight="1" x14ac:dyDescent="0.3">
      <c r="I40" s="22"/>
      <c r="L40" s="28"/>
      <c r="M40" s="30"/>
      <c r="N40" s="29"/>
    </row>
    <row r="41" spans="1:19" ht="18.600000000000001" thickBot="1" x14ac:dyDescent="0.4">
      <c r="D41" s="35" t="s">
        <v>0</v>
      </c>
      <c r="E41" s="35"/>
      <c r="F41" s="35"/>
      <c r="G41" s="35"/>
      <c r="H41" s="35"/>
      <c r="I41" s="35"/>
      <c r="J41" s="1"/>
      <c r="M41" s="30"/>
      <c r="O41" s="30"/>
      <c r="P41" s="30"/>
      <c r="Q41" s="30"/>
      <c r="R41" s="29"/>
      <c r="S41" s="29"/>
    </row>
    <row r="42" spans="1:19" x14ac:dyDescent="0.3">
      <c r="A42" s="34" t="e" vm="1">
        <v>#VALUE!</v>
      </c>
      <c r="B42" s="34"/>
      <c r="C42" s="34"/>
      <c r="D42" s="36" t="str">
        <f>+D2</f>
        <v xml:space="preserve">Coordinación de Operación De Explotación </v>
      </c>
      <c r="E42" s="36"/>
      <c r="F42" s="36"/>
      <c r="G42" s="36"/>
      <c r="H42" s="36"/>
      <c r="I42" s="36"/>
      <c r="K42" s="51" t="e" vm="2">
        <v>#VALUE!</v>
      </c>
      <c r="L42" s="51"/>
      <c r="M42" s="51"/>
      <c r="N42" s="53"/>
    </row>
    <row r="43" spans="1:19" x14ac:dyDescent="0.3">
      <c r="A43" s="34"/>
      <c r="B43" s="34"/>
      <c r="C43" s="34"/>
      <c r="D43" s="34" t="str">
        <f>+D3</f>
        <v>Contrato 425014809</v>
      </c>
      <c r="E43" s="34"/>
      <c r="F43" s="34"/>
      <c r="G43" s="34"/>
      <c r="H43" s="34"/>
      <c r="I43" s="34"/>
      <c r="K43" s="51"/>
      <c r="L43" s="51"/>
      <c r="M43" s="51"/>
      <c r="N43" s="53"/>
    </row>
    <row r="44" spans="1:19" ht="27.6" customHeight="1" x14ac:dyDescent="0.3">
      <c r="A44" s="34"/>
      <c r="B44" s="34"/>
      <c r="C44" s="34"/>
      <c r="D44" s="52" t="str">
        <f>+D4</f>
        <v>Pozo IRIDE 5108</v>
      </c>
      <c r="E44" s="52"/>
      <c r="F44" s="52"/>
      <c r="G44" s="52"/>
      <c r="H44" s="52"/>
      <c r="I44" s="52"/>
      <c r="K44" s="51"/>
      <c r="L44" s="51"/>
      <c r="M44" s="51"/>
      <c r="N44" s="53"/>
    </row>
    <row r="45" spans="1:19" x14ac:dyDescent="0.3">
      <c r="D45" s="34" t="str">
        <f>+D5</f>
        <v>Supervisor Ing. Angel Adrian Castro Acosta.</v>
      </c>
      <c r="E45" s="34"/>
      <c r="F45" s="34"/>
      <c r="G45" s="34"/>
      <c r="H45" s="34"/>
      <c r="I45" s="34"/>
    </row>
    <row r="46" spans="1:19" ht="15" thickBot="1" x14ac:dyDescent="0.35">
      <c r="E46" t="str">
        <f>+D6</f>
        <v>Activo De Extraccion Samaria Luna</v>
      </c>
    </row>
    <row r="47" spans="1:19" ht="16.5" customHeight="1" thickBot="1" x14ac:dyDescent="0.35">
      <c r="A47" s="48" t="s">
        <v>31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50"/>
    </row>
    <row r="48" spans="1:19" ht="15.75" customHeight="1" x14ac:dyDescent="0.3">
      <c r="A48" s="37" t="s">
        <v>32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49" spans="1:12" ht="13.95" customHeight="1" x14ac:dyDescent="0.3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2"/>
    </row>
    <row r="50" spans="1:12" ht="15.75" customHeight="1" x14ac:dyDescent="0.3">
      <c r="A50" s="31"/>
      <c r="B50" s="31"/>
      <c r="C50" s="31"/>
      <c r="D50" s="31"/>
      <c r="E50" s="31"/>
      <c r="F50" s="31"/>
      <c r="G50" s="31"/>
      <c r="H50" s="32"/>
      <c r="I50" s="32"/>
      <c r="J50" s="33"/>
      <c r="K50" s="31"/>
      <c r="L50" s="31"/>
    </row>
    <row r="51" spans="1:12" ht="16.2" customHeight="1" x14ac:dyDescent="0.3"/>
    <row r="64" spans="1:12" ht="15.75" customHeight="1" x14ac:dyDescent="0.3"/>
  </sheetData>
  <mergeCells count="22">
    <mergeCell ref="A42:C44"/>
    <mergeCell ref="K4:M6"/>
    <mergeCell ref="K42:M44"/>
    <mergeCell ref="A4:C6"/>
    <mergeCell ref="A48:L49"/>
    <mergeCell ref="B8:E8"/>
    <mergeCell ref="F8:J8"/>
    <mergeCell ref="L8:L9"/>
    <mergeCell ref="M8:M9"/>
    <mergeCell ref="A9:A10"/>
    <mergeCell ref="D41:I41"/>
    <mergeCell ref="D42:I42"/>
    <mergeCell ref="D43:I43"/>
    <mergeCell ref="D44:I44"/>
    <mergeCell ref="D45:I45"/>
    <mergeCell ref="A47:L47"/>
    <mergeCell ref="D6:I6"/>
    <mergeCell ref="D1:I1"/>
    <mergeCell ref="D2:I2"/>
    <mergeCell ref="D3:I3"/>
    <mergeCell ref="D4:I4"/>
    <mergeCell ref="D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Garcia Jeronimo</dc:creator>
  <cp:lastModifiedBy>David Garcia Jeronimo</cp:lastModifiedBy>
  <dcterms:created xsi:type="dcterms:W3CDTF">2025-11-27T18:52:31Z</dcterms:created>
  <dcterms:modified xsi:type="dcterms:W3CDTF">2025-12-01T16:13:06Z</dcterms:modified>
</cp:coreProperties>
</file>